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ve\Dropbox\H_Teaching and Training\FISH 507-SOE 592\UW-WSU_Introduction_to_Structured_Decision_Making\Lectures\"/>
    </mc:Choice>
  </mc:AlternateContent>
  <xr:revisionPtr revIDLastSave="0" documentId="8_{0CCEB765-2A41-41B1-A662-2159EA992ECF}" xr6:coauthVersionLast="47" xr6:coauthVersionMax="47" xr10:uidLastSave="{00000000-0000-0000-0000-000000000000}"/>
  <bookViews>
    <workbookView xWindow="-98" yWindow="-98" windowWidth="20715" windowHeight="13276" tabRatio="632" firstSheet="9" activeTab="9" xr2:uid="{00000000-000D-0000-FFFF-FFFF00000000}"/>
  </bookViews>
  <sheets>
    <sheet name="1_weight_criteria" sheetId="3" r:id="rId1"/>
    <sheet name="2_evaluate_surveys" sheetId="4" r:id="rId2"/>
    <sheet name="3_prioritization_output" sheetId="6" r:id="rId3"/>
    <sheet name="background_calculations" sheetId="9" r:id="rId4"/>
    <sheet name="annual time budget" sheetId="12" r:id="rId5"/>
    <sheet name="survey-time" sheetId="13" r:id="rId6"/>
    <sheet name="survey characteristics" sheetId="10" r:id="rId7"/>
    <sheet name="Efficient portfolio analysis" sheetId="14" r:id="rId8"/>
    <sheet name="Efficient frontier chart" sheetId="15" r:id="rId9"/>
    <sheet name="Final selected surveys" sheetId="16" r:id="rId10"/>
    <sheet name="SurveyData" sheetId="8" state="hidden" r:id="rId11"/>
  </sheets>
  <externalReferences>
    <externalReference r:id="rId12"/>
  </externalReferences>
  <definedNames>
    <definedName name="_xlnm._FilterDatabase" localSheetId="6" hidden="1">'survey characteristics'!$A$113:$L$113</definedName>
    <definedName name="ExternalData_1" localSheetId="10" hidden="1">SurveyData!$A$1:$AN$2</definedName>
    <definedName name="_xlnm.Print_Area" localSheetId="7">'Efficient portfolio analysis'!$B$5:$H$37</definedName>
    <definedName name="_xlnm.Print_Area" localSheetId="9">'Final selected surveys'!$A$5:$E$34</definedName>
    <definedName name="solver_adj" localSheetId="7" hidden="1">'Efficient portfolio analysis'!$K$5:$K$34</definedName>
    <definedName name="solver_adj" localSheetId="9" hidden="1">'Final selected surveys'!#REF!</definedName>
    <definedName name="solver_cvg" localSheetId="7" hidden="1">0.0001</definedName>
    <definedName name="solver_cvg" localSheetId="9" hidden="1">0.0001</definedName>
    <definedName name="solver_drv" localSheetId="7" hidden="1">1</definedName>
    <definedName name="solver_drv" localSheetId="9" hidden="1">1</definedName>
    <definedName name="solver_eng" localSheetId="7" hidden="1">1</definedName>
    <definedName name="solver_eng" localSheetId="9" hidden="1">1</definedName>
    <definedName name="solver_est" localSheetId="7" hidden="1">1</definedName>
    <definedName name="solver_est" localSheetId="9" hidden="1">1</definedName>
    <definedName name="solver_itr" localSheetId="7" hidden="1">2147483647</definedName>
    <definedName name="solver_itr" localSheetId="9" hidden="1">2147483647</definedName>
    <definedName name="solver_lhs1" localSheetId="7" hidden="1">'Efficient portfolio analysis'!$K$16</definedName>
    <definedName name="solver_lhs1" localSheetId="9" hidden="1">'Final selected surveys'!#REF!</definedName>
    <definedName name="solver_lhs2" localSheetId="7" hidden="1">'Efficient portfolio analysis'!$K$19</definedName>
    <definedName name="solver_lhs2" localSheetId="9" hidden="1">'Final selected surveys'!#REF!</definedName>
    <definedName name="solver_lhs3" localSheetId="7" hidden="1">'Efficient portfolio analysis'!$K$25</definedName>
    <definedName name="solver_lhs3" localSheetId="9" hidden="1">'Final selected surveys'!#REF!</definedName>
    <definedName name="solver_lhs4" localSheetId="7" hidden="1">'Efficient portfolio analysis'!$K$31</definedName>
    <definedName name="solver_lhs4" localSheetId="9" hidden="1">'Final selected surveys'!#REF!</definedName>
    <definedName name="solver_lhs5" localSheetId="7" hidden="1">'Efficient portfolio analysis'!$K$36</definedName>
    <definedName name="solver_lhs5" localSheetId="9" hidden="1">'Final selected surveys'!#REF!</definedName>
    <definedName name="solver_lhs6" localSheetId="7" hidden="1">'Efficient portfolio analysis'!$K$5:$K$34</definedName>
    <definedName name="solver_lhs6" localSheetId="9" hidden="1">'Final selected surveys'!#REF!</definedName>
    <definedName name="solver_mip" localSheetId="7" hidden="1">2147483647</definedName>
    <definedName name="solver_mip" localSheetId="9" hidden="1">2147483647</definedName>
    <definedName name="solver_mni" localSheetId="7" hidden="1">30</definedName>
    <definedName name="solver_mni" localSheetId="9" hidden="1">30</definedName>
    <definedName name="solver_mrt" localSheetId="7" hidden="1">0.075</definedName>
    <definedName name="solver_mrt" localSheetId="9" hidden="1">0.075</definedName>
    <definedName name="solver_msl" localSheetId="7" hidden="1">2</definedName>
    <definedName name="solver_msl" localSheetId="9" hidden="1">2</definedName>
    <definedName name="solver_neg" localSheetId="7" hidden="1">1</definedName>
    <definedName name="solver_neg" localSheetId="9" hidden="1">1</definedName>
    <definedName name="solver_nod" localSheetId="7" hidden="1">2147483647</definedName>
    <definedName name="solver_nod" localSheetId="9" hidden="1">2147483647</definedName>
    <definedName name="solver_num" localSheetId="7" hidden="1">6</definedName>
    <definedName name="solver_num" localSheetId="9" hidden="1">6</definedName>
    <definedName name="solver_nwt" localSheetId="7" hidden="1">1</definedName>
    <definedName name="solver_nwt" localSheetId="9" hidden="1">1</definedName>
    <definedName name="solver_opt" localSheetId="7" hidden="1">'Efficient portfolio analysis'!$K$35</definedName>
    <definedName name="solver_opt" localSheetId="9" hidden="1">'Final selected surveys'!#REF!</definedName>
    <definedName name="solver_pre" localSheetId="7" hidden="1">0.000001</definedName>
    <definedName name="solver_pre" localSheetId="9" hidden="1">0.000001</definedName>
    <definedName name="solver_rbv" localSheetId="7" hidden="1">1</definedName>
    <definedName name="solver_rbv" localSheetId="9" hidden="1">1</definedName>
    <definedName name="solver_rel1" localSheetId="7" hidden="1">2</definedName>
    <definedName name="solver_rel1" localSheetId="9" hidden="1">2</definedName>
    <definedName name="solver_rel2" localSheetId="7" hidden="1">2</definedName>
    <definedName name="solver_rel2" localSheetId="9" hidden="1">2</definedName>
    <definedName name="solver_rel3" localSheetId="7" hidden="1">2</definedName>
    <definedName name="solver_rel3" localSheetId="9" hidden="1">2</definedName>
    <definedName name="solver_rel4" localSheetId="7" hidden="1">2</definedName>
    <definedName name="solver_rel4" localSheetId="9" hidden="1">2</definedName>
    <definedName name="solver_rel5" localSheetId="7" hidden="1">1</definedName>
    <definedName name="solver_rel5" localSheetId="9" hidden="1">1</definedName>
    <definedName name="solver_rel6" localSheetId="7" hidden="1">5</definedName>
    <definedName name="solver_rel6" localSheetId="9" hidden="1">5</definedName>
    <definedName name="solver_rhs1" localSheetId="7" hidden="1">1</definedName>
    <definedName name="solver_rhs1" localSheetId="9" hidden="1">1</definedName>
    <definedName name="solver_rhs2" localSheetId="7" hidden="1">1</definedName>
    <definedName name="solver_rhs2" localSheetId="9" hidden="1">1</definedName>
    <definedName name="solver_rhs3" localSheetId="7" hidden="1">1</definedName>
    <definedName name="solver_rhs3" localSheetId="9" hidden="1">1</definedName>
    <definedName name="solver_rhs4" localSheetId="7" hidden="1">1</definedName>
    <definedName name="solver_rhs4" localSheetId="9" hidden="1">1</definedName>
    <definedName name="solver_rhs5" localSheetId="7" hidden="1">'Efficient portfolio analysis'!$D$38</definedName>
    <definedName name="solver_rhs5" localSheetId="9" hidden="1">'Final selected surveys'!#REF!</definedName>
    <definedName name="solver_rhs6" localSheetId="7" hidden="1">binary</definedName>
    <definedName name="solver_rhs6" localSheetId="9" hidden="1">binary</definedName>
    <definedName name="solver_rlx" localSheetId="7" hidden="1">2</definedName>
    <definedName name="solver_rlx" localSheetId="9" hidden="1">2</definedName>
    <definedName name="solver_rsd" localSheetId="7" hidden="1">0</definedName>
    <definedName name="solver_rsd" localSheetId="9" hidden="1">0</definedName>
    <definedName name="solver_scl" localSheetId="7" hidden="1">1</definedName>
    <definedName name="solver_scl" localSheetId="9" hidden="1">1</definedName>
    <definedName name="solver_sho" localSheetId="7" hidden="1">2</definedName>
    <definedName name="solver_sho" localSheetId="9" hidden="1">2</definedName>
    <definedName name="solver_ssz" localSheetId="7" hidden="1">100</definedName>
    <definedName name="solver_ssz" localSheetId="9" hidden="1">100</definedName>
    <definedName name="solver_tim" localSheetId="7" hidden="1">2147483647</definedName>
    <definedName name="solver_tim" localSheetId="9" hidden="1">2147483647</definedName>
    <definedName name="solver_tol" localSheetId="7" hidden="1">0.01</definedName>
    <definedName name="solver_tol" localSheetId="9" hidden="1">0.01</definedName>
    <definedName name="solver_typ" localSheetId="7" hidden="1">1</definedName>
    <definedName name="solver_typ" localSheetId="9" hidden="1">1</definedName>
    <definedName name="solver_val" localSheetId="7" hidden="1">0</definedName>
    <definedName name="solver_val" localSheetId="9" hidden="1">0</definedName>
    <definedName name="solver_ver" localSheetId="7" hidden="1">3</definedName>
    <definedName name="solver_ver" localSheetId="9" hidden="1">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7" i="14" l="1"/>
  <c r="V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H37" i="14"/>
  <c r="B5" i="14"/>
  <c r="B6" i="14"/>
  <c r="B7" i="14"/>
  <c r="B9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G3" i="10"/>
  <c r="H3" i="10"/>
  <c r="F5" i="14" s="1"/>
  <c r="G4" i="10"/>
  <c r="H4" i="10"/>
  <c r="F6" i="14" s="1"/>
  <c r="G5" i="10"/>
  <c r="H5" i="10"/>
  <c r="F7" i="14" s="1"/>
  <c r="G6" i="10"/>
  <c r="H6" i="10"/>
  <c r="F8" i="14" s="1"/>
  <c r="G7" i="10"/>
  <c r="H7" i="10"/>
  <c r="F9" i="14" s="1"/>
  <c r="G8" i="10"/>
  <c r="H8" i="10"/>
  <c r="F10" i="14" s="1"/>
  <c r="G9" i="10"/>
  <c r="H9" i="10"/>
  <c r="F11" i="14" s="1"/>
  <c r="G10" i="10"/>
  <c r="H10" i="10"/>
  <c r="F12" i="14" s="1"/>
  <c r="G11" i="10"/>
  <c r="H11" i="10"/>
  <c r="F13" i="14" s="1"/>
  <c r="G12" i="10"/>
  <c r="H12" i="10"/>
  <c r="F14" i="14" s="1"/>
  <c r="G13" i="10"/>
  <c r="H13" i="10"/>
  <c r="F15" i="14" s="1"/>
  <c r="G14" i="10"/>
  <c r="H14" i="10"/>
  <c r="F16" i="14" s="1"/>
  <c r="G15" i="10"/>
  <c r="H15" i="10"/>
  <c r="F17" i="14" s="1"/>
  <c r="G16" i="10"/>
  <c r="H16" i="10"/>
  <c r="F18" i="14" s="1"/>
  <c r="G17" i="10"/>
  <c r="H17" i="10"/>
  <c r="F19" i="14" s="1"/>
  <c r="G18" i="10"/>
  <c r="H18" i="10"/>
  <c r="F20" i="14" s="1"/>
  <c r="G19" i="10"/>
  <c r="H19" i="10"/>
  <c r="F21" i="14" s="1"/>
  <c r="G20" i="10"/>
  <c r="H20" i="10"/>
  <c r="F22" i="14" s="1"/>
  <c r="G21" i="10"/>
  <c r="H21" i="10"/>
  <c r="F23" i="14" s="1"/>
  <c r="G22" i="10"/>
  <c r="H22" i="10"/>
  <c r="F24" i="14" s="1"/>
  <c r="G23" i="10"/>
  <c r="H23" i="10"/>
  <c r="F25" i="14" s="1"/>
  <c r="G24" i="10"/>
  <c r="H24" i="10"/>
  <c r="F26" i="14" s="1"/>
  <c r="G25" i="10"/>
  <c r="H25" i="10"/>
  <c r="F27" i="14" s="1"/>
  <c r="G26" i="10"/>
  <c r="H26" i="10"/>
  <c r="F28" i="14" s="1"/>
  <c r="G27" i="10"/>
  <c r="H27" i="10"/>
  <c r="F29" i="14" s="1"/>
  <c r="G28" i="10"/>
  <c r="H28" i="10"/>
  <c r="F30" i="14" s="1"/>
  <c r="G29" i="10"/>
  <c r="H29" i="10"/>
  <c r="F31" i="14" s="1"/>
  <c r="G30" i="10"/>
  <c r="H30" i="10"/>
  <c r="F32" i="14" s="1"/>
  <c r="G31" i="10"/>
  <c r="H31" i="10"/>
  <c r="F33" i="14" s="1"/>
  <c r="G32" i="10"/>
  <c r="H32" i="10"/>
  <c r="F34" i="14" s="1"/>
  <c r="H2" i="10"/>
  <c r="F4" i="14" s="1"/>
  <c r="G2" i="10"/>
  <c r="F3" i="10"/>
  <c r="C5" i="14" s="1"/>
  <c r="F4" i="10"/>
  <c r="C6" i="14" s="1"/>
  <c r="F5" i="10"/>
  <c r="C7" i="14" s="1"/>
  <c r="F6" i="10"/>
  <c r="C8" i="14" s="1"/>
  <c r="F7" i="10"/>
  <c r="C9" i="14" s="1"/>
  <c r="F8" i="10"/>
  <c r="C10" i="14" s="1"/>
  <c r="F9" i="10"/>
  <c r="C11" i="14" s="1"/>
  <c r="F10" i="10"/>
  <c r="C12" i="14" s="1"/>
  <c r="F11" i="10"/>
  <c r="C13" i="14" s="1"/>
  <c r="F12" i="10"/>
  <c r="C14" i="14" s="1"/>
  <c r="F13" i="10"/>
  <c r="C15" i="14" s="1"/>
  <c r="F14" i="10"/>
  <c r="C16" i="14" s="1"/>
  <c r="F15" i="10"/>
  <c r="C17" i="14" s="1"/>
  <c r="F16" i="10"/>
  <c r="C18" i="14" s="1"/>
  <c r="F17" i="10"/>
  <c r="C19" i="14" s="1"/>
  <c r="F18" i="10"/>
  <c r="C20" i="14" s="1"/>
  <c r="F19" i="10"/>
  <c r="C21" i="14" s="1"/>
  <c r="F20" i="10"/>
  <c r="C22" i="14" s="1"/>
  <c r="F21" i="10"/>
  <c r="C23" i="14" s="1"/>
  <c r="F22" i="10"/>
  <c r="C24" i="14" s="1"/>
  <c r="F23" i="10"/>
  <c r="C25" i="14" s="1"/>
  <c r="F24" i="10"/>
  <c r="C26" i="14" s="1"/>
  <c r="F25" i="10"/>
  <c r="C27" i="14" s="1"/>
  <c r="F26" i="10"/>
  <c r="C28" i="14" s="1"/>
  <c r="F27" i="10"/>
  <c r="C29" i="14" s="1"/>
  <c r="F28" i="10"/>
  <c r="C30" i="14" s="1"/>
  <c r="F29" i="10"/>
  <c r="C31" i="14" s="1"/>
  <c r="F30" i="10"/>
  <c r="C32" i="14" s="1"/>
  <c r="F31" i="10"/>
  <c r="C33" i="14" s="1"/>
  <c r="F32" i="10"/>
  <c r="C34" i="14" s="1"/>
  <c r="F2" i="10"/>
  <c r="C4" i="14" s="1"/>
  <c r="B107" i="10"/>
  <c r="F107" i="10"/>
  <c r="B108" i="10"/>
  <c r="F108" i="10"/>
  <c r="B109" i="10"/>
  <c r="F109" i="10"/>
  <c r="A107" i="10"/>
  <c r="A108" i="10"/>
  <c r="A109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B79" i="10"/>
  <c r="C79" i="10"/>
  <c r="D79" i="10"/>
  <c r="E79" i="10"/>
  <c r="F79" i="10"/>
  <c r="B80" i="10"/>
  <c r="F80" i="10"/>
  <c r="B81" i="10"/>
  <c r="F81" i="10"/>
  <c r="B82" i="10"/>
  <c r="F82" i="10"/>
  <c r="B83" i="10"/>
  <c r="F83" i="10"/>
  <c r="B84" i="10"/>
  <c r="F84" i="10"/>
  <c r="B85" i="10"/>
  <c r="F85" i="10"/>
  <c r="B86" i="10"/>
  <c r="F86" i="10"/>
  <c r="B87" i="10"/>
  <c r="F87" i="10"/>
  <c r="B88" i="10"/>
  <c r="F88" i="10"/>
  <c r="B89" i="10"/>
  <c r="F89" i="10"/>
  <c r="B90" i="10"/>
  <c r="F90" i="10"/>
  <c r="B91" i="10"/>
  <c r="F91" i="10"/>
  <c r="B92" i="10"/>
  <c r="F92" i="10"/>
  <c r="B93" i="10"/>
  <c r="F93" i="10"/>
  <c r="B94" i="10"/>
  <c r="F94" i="10"/>
  <c r="B95" i="10"/>
  <c r="F95" i="10"/>
  <c r="B96" i="10"/>
  <c r="F96" i="10"/>
  <c r="B97" i="10"/>
  <c r="F97" i="10"/>
  <c r="B98" i="10"/>
  <c r="F98" i="10"/>
  <c r="B99" i="10"/>
  <c r="F99" i="10"/>
  <c r="B100" i="10"/>
  <c r="F100" i="10"/>
  <c r="B101" i="10"/>
  <c r="F101" i="10"/>
  <c r="B102" i="10"/>
  <c r="F102" i="10"/>
  <c r="B103" i="10"/>
  <c r="F103" i="10"/>
  <c r="B104" i="10"/>
  <c r="F104" i="10"/>
  <c r="B105" i="10"/>
  <c r="F105" i="10"/>
  <c r="B106" i="10"/>
  <c r="F106" i="10"/>
  <c r="C118" i="10"/>
  <c r="E118" i="10"/>
  <c r="F118" i="10"/>
  <c r="G118" i="10"/>
  <c r="B118" i="10"/>
  <c r="A118" i="10"/>
  <c r="C120" i="10"/>
  <c r="E120" i="10"/>
  <c r="F120" i="10"/>
  <c r="G120" i="10"/>
  <c r="B120" i="10"/>
  <c r="A120" i="10"/>
  <c r="C114" i="10"/>
  <c r="E114" i="10"/>
  <c r="F114" i="10"/>
  <c r="G114" i="10"/>
  <c r="B114" i="10"/>
  <c r="A114" i="10"/>
  <c r="J35" i="14" l="1"/>
  <c r="N35" i="14"/>
  <c r="R35" i="14"/>
  <c r="P35" i="14"/>
  <c r="V35" i="14"/>
  <c r="K35" i="14"/>
  <c r="O35" i="14"/>
  <c r="S35" i="14"/>
  <c r="H35" i="14"/>
  <c r="T35" i="14"/>
  <c r="L35" i="14"/>
  <c r="I35" i="14"/>
  <c r="M35" i="14"/>
  <c r="Q35" i="14"/>
  <c r="U35" i="14"/>
  <c r="D79" i="6" l="1"/>
  <c r="C107" i="10" s="1"/>
  <c r="E79" i="6"/>
  <c r="D107" i="10" s="1"/>
  <c r="D80" i="6"/>
  <c r="C108" i="10" s="1"/>
  <c r="E80" i="6"/>
  <c r="D108" i="10" s="1"/>
  <c r="D81" i="6"/>
  <c r="C109" i="10" s="1"/>
  <c r="E81" i="6"/>
  <c r="D109" i="10" s="1"/>
  <c r="AF6" i="9" l="1"/>
  <c r="AG6" i="9"/>
  <c r="AH6" i="9"/>
  <c r="AF7" i="9"/>
  <c r="AG7" i="9"/>
  <c r="AH7" i="9"/>
  <c r="AF8" i="9"/>
  <c r="AG8" i="9"/>
  <c r="AH8" i="9"/>
  <c r="AF9" i="9"/>
  <c r="AG9" i="9"/>
  <c r="AH9" i="9"/>
  <c r="AF10" i="9"/>
  <c r="AG10" i="9"/>
  <c r="AH10" i="9"/>
  <c r="AF11" i="9"/>
  <c r="AG11" i="9"/>
  <c r="AH11" i="9"/>
  <c r="AF12" i="9"/>
  <c r="AG12" i="9"/>
  <c r="AH12" i="9"/>
  <c r="AF13" i="9"/>
  <c r="AG13" i="9"/>
  <c r="AH13" i="9"/>
  <c r="AF14" i="9"/>
  <c r="AG14" i="9"/>
  <c r="AH14" i="9"/>
  <c r="AF15" i="9"/>
  <c r="AG15" i="9"/>
  <c r="AH15" i="9"/>
  <c r="AF16" i="9"/>
  <c r="AG16" i="9"/>
  <c r="AH16" i="9"/>
  <c r="AF17" i="9"/>
  <c r="AG17" i="9"/>
  <c r="AH17" i="9"/>
  <c r="AF18" i="9"/>
  <c r="AG18" i="9"/>
  <c r="AH18" i="9"/>
  <c r="AF19" i="9"/>
  <c r="AG19" i="9"/>
  <c r="AH19" i="9"/>
  <c r="AF20" i="9"/>
  <c r="AG20" i="9"/>
  <c r="AH20" i="9"/>
  <c r="AF21" i="9"/>
  <c r="AG21" i="9"/>
  <c r="AH21" i="9"/>
  <c r="AF22" i="9"/>
  <c r="AG22" i="9"/>
  <c r="AH22" i="9"/>
  <c r="AF5" i="9"/>
  <c r="AG27" i="9" s="1"/>
  <c r="AE29" i="6" s="1"/>
  <c r="AG5" i="9"/>
  <c r="AH27" i="9" s="1"/>
  <c r="AF29" i="6" s="1"/>
  <c r="AH5" i="9"/>
  <c r="AI27" i="9" s="1"/>
  <c r="AG29" i="6" s="1"/>
  <c r="AE5" i="9"/>
  <c r="AF27" i="9" s="1"/>
  <c r="E287" i="13"/>
  <c r="D118" i="10" s="1"/>
  <c r="E278" i="13"/>
  <c r="D120" i="10" s="1"/>
  <c r="E269" i="13"/>
  <c r="D114" i="10" s="1"/>
  <c r="F78" i="10" l="1"/>
  <c r="A78" i="10"/>
  <c r="B78" i="10"/>
  <c r="C78" i="10"/>
  <c r="D78" i="10"/>
  <c r="E78" i="10"/>
  <c r="E78" i="6" l="1"/>
  <c r="D106" i="10" s="1"/>
  <c r="D78" i="6"/>
  <c r="C106" i="10" s="1"/>
  <c r="E77" i="6"/>
  <c r="D105" i="10" s="1"/>
  <c r="D77" i="6"/>
  <c r="C105" i="10" s="1"/>
  <c r="E76" i="6"/>
  <c r="D104" i="10" s="1"/>
  <c r="D76" i="6"/>
  <c r="C104" i="10" s="1"/>
  <c r="E75" i="6"/>
  <c r="D103" i="10" s="1"/>
  <c r="D75" i="6"/>
  <c r="C103" i="10" s="1"/>
  <c r="E74" i="6"/>
  <c r="D102" i="10" s="1"/>
  <c r="D74" i="6"/>
  <c r="C102" i="10" s="1"/>
  <c r="E73" i="6"/>
  <c r="D101" i="10" s="1"/>
  <c r="D73" i="6"/>
  <c r="C101" i="10" s="1"/>
  <c r="E72" i="6"/>
  <c r="D100" i="10" s="1"/>
  <c r="D72" i="6"/>
  <c r="C100" i="10" s="1"/>
  <c r="E71" i="6"/>
  <c r="D99" i="10" s="1"/>
  <c r="D71" i="6"/>
  <c r="C99" i="10" s="1"/>
  <c r="E70" i="6"/>
  <c r="D98" i="10" s="1"/>
  <c r="D70" i="6"/>
  <c r="C98" i="10" s="1"/>
  <c r="E69" i="6"/>
  <c r="D97" i="10" s="1"/>
  <c r="D69" i="6"/>
  <c r="C97" i="10" s="1"/>
  <c r="E68" i="6"/>
  <c r="D96" i="10" s="1"/>
  <c r="D68" i="6"/>
  <c r="C96" i="10" s="1"/>
  <c r="E67" i="6"/>
  <c r="D95" i="10" s="1"/>
  <c r="D67" i="6"/>
  <c r="C95" i="10" s="1"/>
  <c r="E66" i="6"/>
  <c r="D94" i="10" s="1"/>
  <c r="D66" i="6"/>
  <c r="C94" i="10" s="1"/>
  <c r="E65" i="6"/>
  <c r="D93" i="10" s="1"/>
  <c r="D65" i="6"/>
  <c r="C93" i="10" s="1"/>
  <c r="E64" i="6"/>
  <c r="D92" i="10" s="1"/>
  <c r="D64" i="6"/>
  <c r="C92" i="10" s="1"/>
  <c r="E63" i="6"/>
  <c r="D91" i="10" s="1"/>
  <c r="D63" i="6"/>
  <c r="C91" i="10" s="1"/>
  <c r="E62" i="6"/>
  <c r="D90" i="10" s="1"/>
  <c r="D62" i="6"/>
  <c r="C90" i="10" s="1"/>
  <c r="E61" i="6"/>
  <c r="D89" i="10" s="1"/>
  <c r="D61" i="6"/>
  <c r="C89" i="10" s="1"/>
  <c r="E60" i="6"/>
  <c r="D88" i="10" s="1"/>
  <c r="D60" i="6"/>
  <c r="C88" i="10" s="1"/>
  <c r="E59" i="6"/>
  <c r="D87" i="10" s="1"/>
  <c r="D59" i="6"/>
  <c r="C87" i="10" s="1"/>
  <c r="E58" i="6"/>
  <c r="D86" i="10" s="1"/>
  <c r="D58" i="6"/>
  <c r="C86" i="10" s="1"/>
  <c r="E57" i="6"/>
  <c r="D85" i="10" s="1"/>
  <c r="D57" i="6"/>
  <c r="C85" i="10" s="1"/>
  <c r="E56" i="6"/>
  <c r="D84" i="10" s="1"/>
  <c r="D56" i="6"/>
  <c r="C84" i="10" s="1"/>
  <c r="E55" i="6"/>
  <c r="D83" i="10" s="1"/>
  <c r="D55" i="6"/>
  <c r="C83" i="10" s="1"/>
  <c r="E54" i="6"/>
  <c r="D82" i="10" s="1"/>
  <c r="D54" i="6"/>
  <c r="C82" i="10" s="1"/>
  <c r="E53" i="6"/>
  <c r="D81" i="10" s="1"/>
  <c r="D53" i="6"/>
  <c r="C81" i="10" s="1"/>
  <c r="E52" i="6"/>
  <c r="D80" i="10" s="1"/>
  <c r="D52" i="6"/>
  <c r="C80" i="10" s="1"/>
  <c r="A113" i="10"/>
  <c r="B113" i="10"/>
  <c r="C113" i="10"/>
  <c r="D113" i="10"/>
  <c r="E113" i="10"/>
  <c r="F113" i="10"/>
  <c r="G113" i="10"/>
  <c r="H113" i="10"/>
  <c r="I113" i="10"/>
  <c r="J113" i="10"/>
  <c r="K113" i="10"/>
  <c r="L113" i="10"/>
  <c r="A121" i="10"/>
  <c r="B121" i="10"/>
  <c r="C121" i="10"/>
  <c r="E121" i="10"/>
  <c r="F121" i="10"/>
  <c r="G121" i="10"/>
  <c r="A132" i="10"/>
  <c r="B132" i="10"/>
  <c r="C132" i="10"/>
  <c r="E132" i="10"/>
  <c r="F132" i="10"/>
  <c r="G132" i="10"/>
  <c r="A124" i="10"/>
  <c r="B124" i="10"/>
  <c r="C124" i="10"/>
  <c r="E124" i="10"/>
  <c r="F124" i="10"/>
  <c r="G124" i="10"/>
  <c r="A117" i="10"/>
  <c r="B117" i="10"/>
  <c r="C117" i="10"/>
  <c r="E117" i="10"/>
  <c r="F117" i="10"/>
  <c r="G117" i="10"/>
  <c r="A136" i="10"/>
  <c r="B136" i="10"/>
  <c r="C136" i="10"/>
  <c r="E136" i="10"/>
  <c r="F136" i="10"/>
  <c r="G136" i="10"/>
  <c r="A138" i="10"/>
  <c r="B138" i="10"/>
  <c r="C138" i="10"/>
  <c r="E138" i="10"/>
  <c r="F138" i="10"/>
  <c r="G138" i="10"/>
  <c r="A115" i="10"/>
  <c r="B115" i="10"/>
  <c r="C115" i="10"/>
  <c r="E115" i="10"/>
  <c r="F115" i="10"/>
  <c r="G115" i="10"/>
  <c r="A139" i="10"/>
  <c r="B139" i="10"/>
  <c r="C139" i="10"/>
  <c r="E139" i="10"/>
  <c r="F139" i="10"/>
  <c r="G139" i="10"/>
  <c r="A140" i="10"/>
  <c r="B140" i="10"/>
  <c r="C140" i="10"/>
  <c r="E140" i="10"/>
  <c r="F140" i="10"/>
  <c r="G140" i="10"/>
  <c r="A144" i="10"/>
  <c r="B144" i="10"/>
  <c r="C144" i="10"/>
  <c r="E144" i="10"/>
  <c r="F144" i="10"/>
  <c r="G144" i="10"/>
  <c r="B143" i="10"/>
  <c r="C143" i="10"/>
  <c r="E143" i="10"/>
  <c r="F143" i="10"/>
  <c r="G143" i="10"/>
  <c r="A137" i="10"/>
  <c r="B137" i="10"/>
  <c r="C137" i="10"/>
  <c r="E137" i="10"/>
  <c r="F137" i="10"/>
  <c r="G137" i="10"/>
  <c r="A142" i="10"/>
  <c r="B142" i="10"/>
  <c r="C142" i="10"/>
  <c r="E142" i="10"/>
  <c r="F142" i="10"/>
  <c r="G142" i="10"/>
  <c r="A122" i="10"/>
  <c r="B122" i="10"/>
  <c r="C122" i="10"/>
  <c r="E122" i="10"/>
  <c r="F122" i="10"/>
  <c r="G122" i="10"/>
  <c r="A125" i="10"/>
  <c r="B125" i="10"/>
  <c r="C125" i="10"/>
  <c r="E125" i="10"/>
  <c r="F125" i="10"/>
  <c r="G125" i="10"/>
  <c r="A128" i="10"/>
  <c r="B128" i="10"/>
  <c r="C128" i="10"/>
  <c r="E128" i="10"/>
  <c r="F128" i="10"/>
  <c r="G128" i="10"/>
  <c r="A133" i="10"/>
  <c r="B133" i="10"/>
  <c r="C133" i="10"/>
  <c r="E133" i="10"/>
  <c r="F133" i="10"/>
  <c r="G133" i="10"/>
  <c r="A134" i="10"/>
  <c r="B134" i="10"/>
  <c r="C134" i="10"/>
  <c r="E134" i="10"/>
  <c r="F134" i="10"/>
  <c r="G134" i="10"/>
  <c r="A129" i="10"/>
  <c r="B129" i="10"/>
  <c r="C129" i="10"/>
  <c r="E129" i="10"/>
  <c r="F129" i="10"/>
  <c r="G129" i="10"/>
  <c r="A123" i="10"/>
  <c r="B123" i="10"/>
  <c r="C123" i="10"/>
  <c r="E123" i="10"/>
  <c r="F123" i="10"/>
  <c r="G123" i="10"/>
  <c r="A116" i="10"/>
  <c r="B116" i="10"/>
  <c r="C116" i="10"/>
  <c r="E116" i="10"/>
  <c r="F116" i="10"/>
  <c r="G116" i="10"/>
  <c r="A119" i="10"/>
  <c r="B119" i="10"/>
  <c r="C119" i="10"/>
  <c r="E119" i="10"/>
  <c r="F119" i="10"/>
  <c r="G119" i="10"/>
  <c r="A131" i="10"/>
  <c r="B131" i="10"/>
  <c r="C131" i="10"/>
  <c r="E131" i="10"/>
  <c r="F131" i="10"/>
  <c r="G131" i="10"/>
  <c r="A130" i="10"/>
  <c r="B130" i="10"/>
  <c r="C130" i="10"/>
  <c r="E130" i="10"/>
  <c r="F130" i="10"/>
  <c r="G130" i="10"/>
  <c r="A127" i="10"/>
  <c r="B127" i="10"/>
  <c r="C127" i="10"/>
  <c r="E127" i="10"/>
  <c r="F127" i="10"/>
  <c r="G127" i="10"/>
  <c r="A126" i="10"/>
  <c r="B126" i="10"/>
  <c r="C126" i="10"/>
  <c r="E126" i="10"/>
  <c r="F126" i="10"/>
  <c r="G126" i="10"/>
  <c r="A135" i="10"/>
  <c r="B135" i="10"/>
  <c r="C135" i="10"/>
  <c r="E135" i="10"/>
  <c r="F135" i="10"/>
  <c r="G135" i="10"/>
  <c r="A141" i="10"/>
  <c r="B141" i="10"/>
  <c r="C141" i="10"/>
  <c r="E141" i="10"/>
  <c r="F141" i="10"/>
  <c r="G141" i="10"/>
  <c r="E260" i="13"/>
  <c r="D141" i="10" s="1"/>
  <c r="E251" i="13"/>
  <c r="D135" i="10" s="1"/>
  <c r="E242" i="13"/>
  <c r="D126" i="10" s="1"/>
  <c r="M233" i="13"/>
  <c r="L127" i="10" s="1"/>
  <c r="L233" i="13"/>
  <c r="K127" i="10" s="1"/>
  <c r="K233" i="13"/>
  <c r="J127" i="10" s="1"/>
  <c r="J233" i="13"/>
  <c r="I127" i="10" s="1"/>
  <c r="E233" i="13"/>
  <c r="D127" i="10" s="1"/>
  <c r="E224" i="13"/>
  <c r="D130" i="10" s="1"/>
  <c r="E215" i="13"/>
  <c r="D131" i="10" s="1"/>
  <c r="E206" i="13"/>
  <c r="D119" i="10" s="1"/>
  <c r="E197" i="13"/>
  <c r="D116" i="10" s="1"/>
  <c r="E188" i="13"/>
  <c r="D123" i="10" s="1"/>
  <c r="E179" i="13"/>
  <c r="D129" i="10" s="1"/>
  <c r="E170" i="13"/>
  <c r="D134" i="10" s="1"/>
  <c r="E161" i="13"/>
  <c r="D133" i="10" s="1"/>
  <c r="E152" i="13"/>
  <c r="D128" i="10" s="1"/>
  <c r="E143" i="13"/>
  <c r="D125" i="10" s="1"/>
  <c r="E134" i="13"/>
  <c r="D122" i="10" s="1"/>
  <c r="E125" i="13"/>
  <c r="D142" i="10" s="1"/>
  <c r="I121" i="13"/>
  <c r="M116" i="13"/>
  <c r="L137" i="10" s="1"/>
  <c r="L116" i="13"/>
  <c r="K137" i="10" s="1"/>
  <c r="K116" i="13"/>
  <c r="J137" i="10" s="1"/>
  <c r="J116" i="13"/>
  <c r="I137" i="10" s="1"/>
  <c r="E116" i="13"/>
  <c r="D137" i="10" s="1"/>
  <c r="I112" i="13"/>
  <c r="E107" i="13"/>
  <c r="D143" i="10" s="1"/>
  <c r="I103" i="13"/>
  <c r="E98" i="13"/>
  <c r="D144" i="10" s="1"/>
  <c r="I94" i="13"/>
  <c r="E89" i="13"/>
  <c r="D140" i="10" s="1"/>
  <c r="I85" i="13"/>
  <c r="E80" i="13"/>
  <c r="D139" i="10" s="1"/>
  <c r="I76" i="13"/>
  <c r="E71" i="13"/>
  <c r="D115" i="10" s="1"/>
  <c r="I67" i="13"/>
  <c r="E62" i="13"/>
  <c r="D138" i="10" s="1"/>
  <c r="I58" i="13"/>
  <c r="M58" i="13" s="1"/>
  <c r="E53" i="13"/>
  <c r="D136" i="10" s="1"/>
  <c r="I49" i="13"/>
  <c r="E44" i="13"/>
  <c r="D117" i="10" s="1"/>
  <c r="I40" i="13"/>
  <c r="E35" i="13"/>
  <c r="D124" i="10" s="1"/>
  <c r="I31" i="13"/>
  <c r="E26" i="13"/>
  <c r="D132" i="10" s="1"/>
  <c r="I22" i="13"/>
  <c r="E17" i="13"/>
  <c r="D121" i="10" s="1"/>
  <c r="G6" i="13"/>
  <c r="G5" i="13"/>
  <c r="H1" i="13"/>
  <c r="E17" i="12"/>
  <c r="J16" i="12"/>
  <c r="I16" i="12"/>
  <c r="C16" i="12"/>
  <c r="J15" i="12"/>
  <c r="I15" i="12"/>
  <c r="C15" i="12"/>
  <c r="D15" i="12" s="1"/>
  <c r="B15" i="12"/>
  <c r="J14" i="12"/>
  <c r="I14" i="12" s="1"/>
  <c r="C14" i="12"/>
  <c r="D14" i="12" s="1"/>
  <c r="B14" i="12"/>
  <c r="J13" i="12"/>
  <c r="I13" i="12" s="1"/>
  <c r="C13" i="12"/>
  <c r="B13" i="12" s="1"/>
  <c r="J12" i="12"/>
  <c r="I12" i="12"/>
  <c r="C12" i="12"/>
  <c r="J11" i="12"/>
  <c r="I11" i="12"/>
  <c r="C11" i="12"/>
  <c r="D11" i="12" s="1"/>
  <c r="B11" i="12"/>
  <c r="J10" i="12"/>
  <c r="I10" i="12" s="1"/>
  <c r="C10" i="12"/>
  <c r="D10" i="12" s="1"/>
  <c r="B10" i="12"/>
  <c r="J9" i="12"/>
  <c r="I9" i="12" s="1"/>
  <c r="C9" i="12"/>
  <c r="B9" i="12" s="1"/>
  <c r="J8" i="12"/>
  <c r="I8" i="12"/>
  <c r="C8" i="12"/>
  <c r="J7" i="12"/>
  <c r="I7" i="12"/>
  <c r="C7" i="12"/>
  <c r="D7" i="12" s="1"/>
  <c r="B7" i="12"/>
  <c r="J6" i="12"/>
  <c r="I6" i="12" s="1"/>
  <c r="C6" i="12"/>
  <c r="D6" i="12" s="1"/>
  <c r="B6" i="12"/>
  <c r="J5" i="12"/>
  <c r="I5" i="12" s="1"/>
  <c r="C5" i="12"/>
  <c r="B5" i="12" s="1"/>
  <c r="J4" i="12"/>
  <c r="I4" i="12"/>
  <c r="C4" i="12"/>
  <c r="J3" i="12"/>
  <c r="I3" i="12"/>
  <c r="C3" i="12"/>
  <c r="D3" i="12" s="1"/>
  <c r="B3" i="12"/>
  <c r="J2" i="12"/>
  <c r="J20" i="12" s="1"/>
  <c r="J21" i="12" s="1"/>
  <c r="C2" i="12"/>
  <c r="D2" i="12" s="1"/>
  <c r="B2" i="12"/>
  <c r="B4" i="12" l="1"/>
  <c r="D4" i="12"/>
  <c r="B8" i="12"/>
  <c r="D8" i="12"/>
  <c r="B12" i="12"/>
  <c r="D12" i="12"/>
  <c r="B16" i="12"/>
  <c r="D16" i="12"/>
  <c r="I272" i="13"/>
  <c r="I286" i="13"/>
  <c r="I285" i="13"/>
  <c r="I284" i="13"/>
  <c r="I282" i="13"/>
  <c r="I280" i="13"/>
  <c r="I287" i="13" s="1"/>
  <c r="H118" i="10" s="1"/>
  <c r="I277" i="13"/>
  <c r="I276" i="13"/>
  <c r="I275" i="13"/>
  <c r="I273" i="13"/>
  <c r="I271" i="13"/>
  <c r="I278" i="13" s="1"/>
  <c r="H120" i="10" s="1"/>
  <c r="I268" i="13"/>
  <c r="I267" i="13"/>
  <c r="I266" i="13"/>
  <c r="I264" i="13"/>
  <c r="I262" i="13"/>
  <c r="I269" i="13" s="1"/>
  <c r="H114" i="10" s="1"/>
  <c r="M49" i="13"/>
  <c r="J49" i="13"/>
  <c r="M67" i="13"/>
  <c r="L67" i="13"/>
  <c r="K67" i="13"/>
  <c r="J67" i="13"/>
  <c r="M76" i="13"/>
  <c r="K76" i="13"/>
  <c r="J76" i="13"/>
  <c r="J94" i="13"/>
  <c r="K94" i="13"/>
  <c r="M94" i="13"/>
  <c r="L94" i="13"/>
  <c r="M121" i="13"/>
  <c r="K121" i="13"/>
  <c r="J121" i="13"/>
  <c r="H2" i="13"/>
  <c r="E31" i="10"/>
  <c r="E33" i="14" s="1"/>
  <c r="F52" i="6"/>
  <c r="O143" i="10"/>
  <c r="C31" i="10" s="1"/>
  <c r="D33" i="14" s="1"/>
  <c r="I111" i="13"/>
  <c r="I100" i="13"/>
  <c r="I96" i="13"/>
  <c r="I92" i="13"/>
  <c r="I88" i="13"/>
  <c r="I84" i="13"/>
  <c r="I68" i="13"/>
  <c r="I64" i="13"/>
  <c r="I60" i="13"/>
  <c r="I56" i="13"/>
  <c r="I52" i="13"/>
  <c r="I48" i="13"/>
  <c r="I257" i="13"/>
  <c r="I246" i="13"/>
  <c r="I195" i="13"/>
  <c r="I190" i="13"/>
  <c r="I159" i="13"/>
  <c r="I154" i="13"/>
  <c r="I149" i="13"/>
  <c r="I138" i="13"/>
  <c r="I127" i="13"/>
  <c r="I122" i="13"/>
  <c r="I119" i="13"/>
  <c r="I114" i="13"/>
  <c r="I102" i="13"/>
  <c r="I32" i="13"/>
  <c r="I34" i="13"/>
  <c r="I61" i="13"/>
  <c r="I74" i="13"/>
  <c r="I86" i="13"/>
  <c r="I101" i="13"/>
  <c r="I199" i="13"/>
  <c r="I214" i="13"/>
  <c r="I241" i="13"/>
  <c r="I10" i="13"/>
  <c r="I15" i="13"/>
  <c r="I16" i="13"/>
  <c r="I19" i="13"/>
  <c r="I41" i="13"/>
  <c r="I46" i="13"/>
  <c r="I50" i="13"/>
  <c r="K58" i="13"/>
  <c r="J58" i="13"/>
  <c r="I66" i="13"/>
  <c r="I70" i="13"/>
  <c r="L85" i="13"/>
  <c r="K85" i="13"/>
  <c r="I93" i="13"/>
  <c r="I106" i="13"/>
  <c r="I185" i="13"/>
  <c r="I204" i="13"/>
  <c r="I232" i="13"/>
  <c r="I12" i="13"/>
  <c r="I21" i="13"/>
  <c r="J21" i="13" s="1"/>
  <c r="I24" i="13"/>
  <c r="I25" i="13"/>
  <c r="I28" i="13"/>
  <c r="I37" i="13"/>
  <c r="L49" i="13"/>
  <c r="K49" i="13"/>
  <c r="I57" i="13"/>
  <c r="L58" i="13"/>
  <c r="I65" i="13"/>
  <c r="I69" i="13"/>
  <c r="J85" i="13"/>
  <c r="I118" i="13"/>
  <c r="I136" i="13"/>
  <c r="I244" i="13"/>
  <c r="I33" i="13"/>
  <c r="I42" i="13"/>
  <c r="I77" i="13"/>
  <c r="I82" i="13"/>
  <c r="I97" i="13"/>
  <c r="I133" i="13"/>
  <c r="I29" i="13"/>
  <c r="I30" i="13"/>
  <c r="I38" i="13"/>
  <c r="I73" i="13"/>
  <c r="I78" i="13"/>
  <c r="M85" i="13"/>
  <c r="I123" i="13"/>
  <c r="I178" i="13"/>
  <c r="K103" i="13"/>
  <c r="J103" i="13"/>
  <c r="I259" i="13"/>
  <c r="I253" i="13"/>
  <c r="I249" i="13"/>
  <c r="I239" i="13"/>
  <c r="I228" i="13"/>
  <c r="I223" i="13"/>
  <c r="I217" i="13"/>
  <c r="I213" i="13"/>
  <c r="I203" i="13"/>
  <c r="I192" i="13"/>
  <c r="I187" i="13"/>
  <c r="I181" i="13"/>
  <c r="I177" i="13"/>
  <c r="I167" i="13"/>
  <c r="I156" i="13"/>
  <c r="I151" i="13"/>
  <c r="I145" i="13"/>
  <c r="I141" i="13"/>
  <c r="I230" i="13"/>
  <c r="I174" i="13"/>
  <c r="I165" i="13"/>
  <c r="I131" i="13"/>
  <c r="I113" i="13"/>
  <c r="I109" i="13"/>
  <c r="I105" i="13"/>
  <c r="I226" i="13"/>
  <c r="I222" i="13"/>
  <c r="I221" i="13"/>
  <c r="I219" i="13"/>
  <c r="I212" i="13"/>
  <c r="I210" i="13"/>
  <c r="I201" i="13"/>
  <c r="I172" i="13"/>
  <c r="I169" i="13"/>
  <c r="I168" i="13"/>
  <c r="I163" i="13"/>
  <c r="I129" i="13"/>
  <c r="I124" i="13"/>
  <c r="I120" i="13"/>
  <c r="I104" i="13"/>
  <c r="I14" i="13"/>
  <c r="I23" i="13"/>
  <c r="I39" i="13"/>
  <c r="I43" i="13"/>
  <c r="I47" i="13"/>
  <c r="I51" i="13"/>
  <c r="I55" i="13"/>
  <c r="I59" i="13"/>
  <c r="I75" i="13"/>
  <c r="L76" i="13"/>
  <c r="I79" i="13"/>
  <c r="I83" i="13"/>
  <c r="I87" i="13"/>
  <c r="I91" i="13"/>
  <c r="I95" i="13"/>
  <c r="L103" i="13"/>
  <c r="I110" i="13"/>
  <c r="I115" i="13"/>
  <c r="I132" i="13"/>
  <c r="I142" i="13"/>
  <c r="I183" i="13"/>
  <c r="I186" i="13"/>
  <c r="I205" i="13"/>
  <c r="I208" i="13"/>
  <c r="I215" i="13" s="1"/>
  <c r="H131" i="10" s="1"/>
  <c r="I235" i="13"/>
  <c r="I240" i="13"/>
  <c r="I250" i="13"/>
  <c r="M103" i="13"/>
  <c r="I140" i="13"/>
  <c r="I147" i="13"/>
  <c r="I150" i="13"/>
  <c r="I158" i="13"/>
  <c r="I160" i="13"/>
  <c r="I176" i="13"/>
  <c r="I194" i="13"/>
  <c r="I196" i="13"/>
  <c r="I231" i="13"/>
  <c r="I237" i="13"/>
  <c r="I248" i="13"/>
  <c r="I255" i="13"/>
  <c r="I258" i="13"/>
  <c r="L121" i="13"/>
  <c r="B17" i="12"/>
  <c r="C17" i="12"/>
  <c r="O20" i="12"/>
  <c r="D38" i="14" s="1"/>
  <c r="D5" i="12"/>
  <c r="D9" i="12"/>
  <c r="D13" i="12"/>
  <c r="I2" i="12"/>
  <c r="AE22" i="9"/>
  <c r="AE21" i="9"/>
  <c r="AE20" i="9"/>
  <c r="AE19" i="9"/>
  <c r="AE18" i="9"/>
  <c r="AE17" i="9"/>
  <c r="AE16" i="9"/>
  <c r="AE15" i="9"/>
  <c r="AE14" i="9"/>
  <c r="AE13" i="9"/>
  <c r="AE12" i="9"/>
  <c r="AE11" i="9"/>
  <c r="AE10" i="9"/>
  <c r="AE9" i="9"/>
  <c r="AE8" i="9"/>
  <c r="AE7" i="9"/>
  <c r="AE6" i="9"/>
  <c r="AD22" i="9"/>
  <c r="AD21" i="9"/>
  <c r="AD20" i="9"/>
  <c r="AD19" i="9"/>
  <c r="AD18" i="9"/>
  <c r="AD17" i="9"/>
  <c r="AD16" i="9"/>
  <c r="AD15" i="9"/>
  <c r="AD14" i="9"/>
  <c r="AD13" i="9"/>
  <c r="AD12" i="9"/>
  <c r="AD11" i="9"/>
  <c r="AD10" i="9"/>
  <c r="AD9" i="9"/>
  <c r="AD8" i="9"/>
  <c r="AD7" i="9"/>
  <c r="AD6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AB22" i="9"/>
  <c r="AB21" i="9"/>
  <c r="AB20" i="9"/>
  <c r="AB19" i="9"/>
  <c r="AB18" i="9"/>
  <c r="AB17" i="9"/>
  <c r="AB16" i="9"/>
  <c r="AB15" i="9"/>
  <c r="AB14" i="9"/>
  <c r="AB13" i="9"/>
  <c r="AB12" i="9"/>
  <c r="AB11" i="9"/>
  <c r="AB10" i="9"/>
  <c r="AB9" i="9"/>
  <c r="AB8" i="9"/>
  <c r="AB7" i="9"/>
  <c r="AB6" i="9"/>
  <c r="AA22" i="9"/>
  <c r="AA21" i="9"/>
  <c r="AA20" i="9"/>
  <c r="AA19" i="9"/>
  <c r="AA18" i="9"/>
  <c r="AA17" i="9"/>
  <c r="AA16" i="9"/>
  <c r="AA15" i="9"/>
  <c r="AA14" i="9"/>
  <c r="AA13" i="9"/>
  <c r="AA12" i="9"/>
  <c r="AA11" i="9"/>
  <c r="AA10" i="9"/>
  <c r="AA9" i="9"/>
  <c r="AA8" i="9"/>
  <c r="AA7" i="9"/>
  <c r="AA6" i="9"/>
  <c r="Z22" i="9"/>
  <c r="Z21" i="9"/>
  <c r="Z20" i="9"/>
  <c r="Z19" i="9"/>
  <c r="Z18" i="9"/>
  <c r="Z17" i="9"/>
  <c r="Z16" i="9"/>
  <c r="Z15" i="9"/>
  <c r="Z14" i="9"/>
  <c r="Z13" i="9"/>
  <c r="Z12" i="9"/>
  <c r="Z11" i="9"/>
  <c r="Z10" i="9"/>
  <c r="Z9" i="9"/>
  <c r="Z8" i="9"/>
  <c r="Z7" i="9"/>
  <c r="Z6" i="9"/>
  <c r="Y22" i="9"/>
  <c r="Y21" i="9"/>
  <c r="Y20" i="9"/>
  <c r="Y19" i="9"/>
  <c r="Y18" i="9"/>
  <c r="Y17" i="9"/>
  <c r="Y16" i="9"/>
  <c r="Y15" i="9"/>
  <c r="Y14" i="9"/>
  <c r="Y13" i="9"/>
  <c r="Y12" i="9"/>
  <c r="Y11" i="9"/>
  <c r="Y10" i="9"/>
  <c r="Y9" i="9"/>
  <c r="Y8" i="9"/>
  <c r="Y7" i="9"/>
  <c r="Y6" i="9"/>
  <c r="X22" i="9"/>
  <c r="X21" i="9"/>
  <c r="X20" i="9"/>
  <c r="X19" i="9"/>
  <c r="X18" i="9"/>
  <c r="X17" i="9"/>
  <c r="X16" i="9"/>
  <c r="X15" i="9"/>
  <c r="X14" i="9"/>
  <c r="X13" i="9"/>
  <c r="X12" i="9"/>
  <c r="X11" i="9"/>
  <c r="X10" i="9"/>
  <c r="X9" i="9"/>
  <c r="X8" i="9"/>
  <c r="X7" i="9"/>
  <c r="X6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W9" i="9"/>
  <c r="W8" i="9"/>
  <c r="W7" i="9"/>
  <c r="W6" i="9"/>
  <c r="V22" i="9"/>
  <c r="V21" i="9"/>
  <c r="V20" i="9"/>
  <c r="V19" i="9"/>
  <c r="V18" i="9"/>
  <c r="V17" i="9"/>
  <c r="V16" i="9"/>
  <c r="V15" i="9"/>
  <c r="V14" i="9"/>
  <c r="V13" i="9"/>
  <c r="V12" i="9"/>
  <c r="V11" i="9"/>
  <c r="V10" i="9"/>
  <c r="V9" i="9"/>
  <c r="V8" i="9"/>
  <c r="V7" i="9"/>
  <c r="V6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Q22" i="9"/>
  <c r="Q21" i="9"/>
  <c r="Q20" i="9"/>
  <c r="Q19" i="9"/>
  <c r="Q18" i="9"/>
  <c r="Q17" i="9"/>
  <c r="Q16" i="9"/>
  <c r="Q15" i="9"/>
  <c r="Q14" i="9"/>
  <c r="Q13" i="9"/>
  <c r="Q12" i="9"/>
  <c r="Q11" i="9"/>
  <c r="Q10" i="9"/>
  <c r="Q9" i="9"/>
  <c r="Q8" i="9"/>
  <c r="Q7" i="9"/>
  <c r="Q6" i="9"/>
  <c r="P22" i="9"/>
  <c r="P21" i="9"/>
  <c r="P20" i="9"/>
  <c r="P19" i="9"/>
  <c r="P18" i="9"/>
  <c r="P17" i="9"/>
  <c r="P16" i="9"/>
  <c r="P15" i="9"/>
  <c r="P14" i="9"/>
  <c r="P13" i="9"/>
  <c r="P12" i="9"/>
  <c r="P11" i="9"/>
  <c r="P10" i="9"/>
  <c r="P9" i="9"/>
  <c r="P8" i="9"/>
  <c r="P7" i="9"/>
  <c r="P6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N22" i="9"/>
  <c r="N21" i="9"/>
  <c r="N20" i="9"/>
  <c r="N19" i="9"/>
  <c r="N18" i="9"/>
  <c r="N17" i="9"/>
  <c r="N16" i="9"/>
  <c r="N15" i="9"/>
  <c r="N14" i="9"/>
  <c r="N13" i="9"/>
  <c r="N12" i="9"/>
  <c r="N11" i="9"/>
  <c r="N10" i="9"/>
  <c r="N9" i="9"/>
  <c r="N8" i="9"/>
  <c r="N7" i="9"/>
  <c r="N6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L22" i="9"/>
  <c r="L21" i="9"/>
  <c r="L20" i="9"/>
  <c r="L19" i="9"/>
  <c r="L18" i="9"/>
  <c r="L17" i="9"/>
  <c r="L16" i="9"/>
  <c r="L15" i="9"/>
  <c r="L14" i="9"/>
  <c r="L13" i="9"/>
  <c r="L12" i="9"/>
  <c r="L11" i="9"/>
  <c r="L10" i="9"/>
  <c r="L9" i="9"/>
  <c r="L8" i="9"/>
  <c r="L7" i="9"/>
  <c r="L6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AD29" i="6"/>
  <c r="AD5" i="9"/>
  <c r="AE27" i="9" s="1"/>
  <c r="AC29" i="6" s="1"/>
  <c r="AC5" i="9"/>
  <c r="AD27" i="9" s="1"/>
  <c r="AB29" i="6" s="1"/>
  <c r="AB5" i="9"/>
  <c r="AC27" i="9" s="1"/>
  <c r="AA29" i="6" s="1"/>
  <c r="AA5" i="9"/>
  <c r="AB27" i="9" s="1"/>
  <c r="Z29" i="6" s="1"/>
  <c r="Z5" i="9"/>
  <c r="AA27" i="9" s="1"/>
  <c r="Y29" i="6" s="1"/>
  <c r="Y5" i="9"/>
  <c r="Z27" i="9" s="1"/>
  <c r="X29" i="6" s="1"/>
  <c r="X5" i="9"/>
  <c r="Y27" i="9" s="1"/>
  <c r="W29" i="6" s="1"/>
  <c r="W5" i="9"/>
  <c r="X27" i="9" s="1"/>
  <c r="V29" i="6" s="1"/>
  <c r="V5" i="9"/>
  <c r="W27" i="9" s="1"/>
  <c r="U29" i="6" s="1"/>
  <c r="U5" i="9"/>
  <c r="V27" i="9" s="1"/>
  <c r="T29" i="6" s="1"/>
  <c r="T5" i="9"/>
  <c r="U27" i="9" s="1"/>
  <c r="S29" i="6" s="1"/>
  <c r="S5" i="9"/>
  <c r="T27" i="9" s="1"/>
  <c r="R29" i="6" s="1"/>
  <c r="R5" i="9"/>
  <c r="S27" i="9" s="1"/>
  <c r="Q29" i="6" s="1"/>
  <c r="Q5" i="9"/>
  <c r="R27" i="9" s="1"/>
  <c r="P29" i="6" s="1"/>
  <c r="P5" i="9"/>
  <c r="Q27" i="9" s="1"/>
  <c r="O29" i="6" s="1"/>
  <c r="O5" i="9"/>
  <c r="P27" i="9" s="1"/>
  <c r="N29" i="6" s="1"/>
  <c r="N5" i="9"/>
  <c r="O27" i="9" s="1"/>
  <c r="M29" i="6" s="1"/>
  <c r="M5" i="9"/>
  <c r="N27" i="9" s="1"/>
  <c r="L29" i="6" s="1"/>
  <c r="L5" i="9"/>
  <c r="M27" i="9" s="1"/>
  <c r="K29" i="6" s="1"/>
  <c r="K5" i="9"/>
  <c r="L27" i="9" s="1"/>
  <c r="J29" i="6" s="1"/>
  <c r="J5" i="9"/>
  <c r="K27" i="9" s="1"/>
  <c r="I29" i="6" s="1"/>
  <c r="I5" i="9"/>
  <c r="J27" i="9" s="1"/>
  <c r="H29" i="6" s="1"/>
  <c r="H5" i="9"/>
  <c r="I27" i="9" s="1"/>
  <c r="G29" i="6" s="1"/>
  <c r="G5" i="9"/>
  <c r="H27" i="9" s="1"/>
  <c r="F29" i="6" s="1"/>
  <c r="F5" i="9"/>
  <c r="G27" i="9" s="1"/>
  <c r="E29" i="6" s="1"/>
  <c r="E5" i="9"/>
  <c r="F27" i="9" s="1"/>
  <c r="D29" i="6" s="1"/>
  <c r="D5" i="9"/>
  <c r="E27" i="9" s="1"/>
  <c r="C29" i="6" s="1"/>
  <c r="D17" i="12" l="1"/>
  <c r="M176" i="13"/>
  <c r="L176" i="13"/>
  <c r="K176" i="13"/>
  <c r="J176" i="13"/>
  <c r="I242" i="13"/>
  <c r="H126" i="10" s="1"/>
  <c r="J95" i="13"/>
  <c r="K95" i="13"/>
  <c r="M95" i="13"/>
  <c r="L95" i="13"/>
  <c r="M174" i="13"/>
  <c r="L174" i="13"/>
  <c r="K174" i="13"/>
  <c r="J174" i="13"/>
  <c r="M177" i="13"/>
  <c r="L177" i="13"/>
  <c r="K177" i="13"/>
  <c r="J177" i="13"/>
  <c r="M178" i="13"/>
  <c r="L178" i="13"/>
  <c r="K178" i="13"/>
  <c r="J178" i="13"/>
  <c r="J97" i="13"/>
  <c r="K97" i="13"/>
  <c r="M97" i="13"/>
  <c r="L97" i="13"/>
  <c r="I251" i="13"/>
  <c r="H135" i="10" s="1"/>
  <c r="J93" i="13"/>
  <c r="K93" i="13"/>
  <c r="M93" i="13"/>
  <c r="L93" i="13"/>
  <c r="I26" i="13"/>
  <c r="H132" i="10" s="1"/>
  <c r="K92" i="13"/>
  <c r="M92" i="13"/>
  <c r="J96" i="13"/>
  <c r="K96" i="13"/>
  <c r="M96" i="13"/>
  <c r="L96" i="13"/>
  <c r="J264" i="13"/>
  <c r="L264" i="13"/>
  <c r="K264" i="13"/>
  <c r="M264" i="13"/>
  <c r="M266" i="13"/>
  <c r="L266" i="13"/>
  <c r="J266" i="13"/>
  <c r="K266" i="13"/>
  <c r="L267" i="13"/>
  <c r="M267" i="13"/>
  <c r="J267" i="13"/>
  <c r="K267" i="13"/>
  <c r="K268" i="13"/>
  <c r="L268" i="13"/>
  <c r="M268" i="13"/>
  <c r="J268" i="13"/>
  <c r="J273" i="13"/>
  <c r="K273" i="13"/>
  <c r="L273" i="13"/>
  <c r="M273" i="13"/>
  <c r="M275" i="13"/>
  <c r="L275" i="13"/>
  <c r="J275" i="13"/>
  <c r="K275" i="13"/>
  <c r="L276" i="13"/>
  <c r="K276" i="13"/>
  <c r="M276" i="13"/>
  <c r="J276" i="13"/>
  <c r="K277" i="13"/>
  <c r="J277" i="13"/>
  <c r="L277" i="13"/>
  <c r="M277" i="13"/>
  <c r="J282" i="13"/>
  <c r="K282" i="13"/>
  <c r="L282" i="13"/>
  <c r="M282" i="13"/>
  <c r="M284" i="13"/>
  <c r="J284" i="13"/>
  <c r="K284" i="13"/>
  <c r="L284" i="13"/>
  <c r="L285" i="13"/>
  <c r="M285" i="13"/>
  <c r="J285" i="13"/>
  <c r="K285" i="13"/>
  <c r="K286" i="13"/>
  <c r="L286" i="13"/>
  <c r="M286" i="13"/>
  <c r="J286" i="13"/>
  <c r="I179" i="13"/>
  <c r="H129" i="10" s="1"/>
  <c r="E80" i="10"/>
  <c r="F53" i="6"/>
  <c r="I152" i="13"/>
  <c r="H128" i="10" s="1"/>
  <c r="J258" i="13"/>
  <c r="L258" i="13"/>
  <c r="K258" i="13"/>
  <c r="M258" i="13"/>
  <c r="J160" i="13"/>
  <c r="L160" i="13"/>
  <c r="K160" i="13"/>
  <c r="M160" i="13"/>
  <c r="J140" i="13"/>
  <c r="L140" i="13"/>
  <c r="K140" i="13"/>
  <c r="M140" i="13"/>
  <c r="J87" i="13"/>
  <c r="M87" i="13"/>
  <c r="K87" i="13"/>
  <c r="L87" i="13"/>
  <c r="J47" i="13"/>
  <c r="M47" i="13"/>
  <c r="L47" i="13"/>
  <c r="K47" i="13"/>
  <c r="J129" i="13"/>
  <c r="M129" i="13"/>
  <c r="L129" i="13"/>
  <c r="K129" i="13"/>
  <c r="L219" i="13"/>
  <c r="J219" i="13"/>
  <c r="M219" i="13"/>
  <c r="K219" i="13"/>
  <c r="M203" i="13"/>
  <c r="K203" i="13"/>
  <c r="J203" i="13"/>
  <c r="L203" i="13"/>
  <c r="M259" i="13"/>
  <c r="L259" i="13"/>
  <c r="K259" i="13"/>
  <c r="J259" i="13"/>
  <c r="K38" i="13"/>
  <c r="J38" i="13"/>
  <c r="M38" i="13"/>
  <c r="L38" i="13"/>
  <c r="K33" i="13"/>
  <c r="M33" i="13"/>
  <c r="L33" i="13"/>
  <c r="J33" i="13"/>
  <c r="L57" i="13"/>
  <c r="K57" i="13"/>
  <c r="J57" i="13"/>
  <c r="M57" i="13"/>
  <c r="J12" i="13"/>
  <c r="K12" i="13"/>
  <c r="L12" i="13"/>
  <c r="M12" i="13"/>
  <c r="K74" i="13"/>
  <c r="J74" i="13"/>
  <c r="M74" i="13"/>
  <c r="L74" i="13"/>
  <c r="K102" i="13"/>
  <c r="L102" i="13"/>
  <c r="J102" i="13"/>
  <c r="M102" i="13"/>
  <c r="K159" i="13"/>
  <c r="L159" i="13"/>
  <c r="J159" i="13"/>
  <c r="M159" i="13"/>
  <c r="M60" i="13"/>
  <c r="L60" i="13"/>
  <c r="K60" i="13"/>
  <c r="J60" i="13"/>
  <c r="J196" i="13"/>
  <c r="M196" i="13"/>
  <c r="L196" i="13"/>
  <c r="K196" i="13"/>
  <c r="L158" i="13"/>
  <c r="K158" i="13"/>
  <c r="J158" i="13"/>
  <c r="M158" i="13"/>
  <c r="L142" i="13"/>
  <c r="M142" i="13"/>
  <c r="K142" i="13"/>
  <c r="J142" i="13"/>
  <c r="J59" i="13"/>
  <c r="M59" i="13"/>
  <c r="K59" i="13"/>
  <c r="L59" i="13"/>
  <c r="J104" i="13"/>
  <c r="M104" i="13"/>
  <c r="L104" i="13"/>
  <c r="K104" i="13"/>
  <c r="J201" i="13"/>
  <c r="K201" i="13"/>
  <c r="M201" i="13"/>
  <c r="L201" i="13"/>
  <c r="K221" i="13"/>
  <c r="J221" i="13"/>
  <c r="L221" i="13"/>
  <c r="M221" i="13"/>
  <c r="I188" i="13"/>
  <c r="H123" i="10" s="1"/>
  <c r="M213" i="13"/>
  <c r="K213" i="13"/>
  <c r="J213" i="13"/>
  <c r="L213" i="13"/>
  <c r="J30" i="13"/>
  <c r="K30" i="13"/>
  <c r="M30" i="13"/>
  <c r="L30" i="13"/>
  <c r="K25" i="13"/>
  <c r="J25" i="13"/>
  <c r="M25" i="13"/>
  <c r="L25" i="13"/>
  <c r="K50" i="13"/>
  <c r="J50" i="13"/>
  <c r="M50" i="13"/>
  <c r="L50" i="13"/>
  <c r="L214" i="13"/>
  <c r="K214" i="13"/>
  <c r="J214" i="13"/>
  <c r="M214" i="13"/>
  <c r="L61" i="13"/>
  <c r="K61" i="13"/>
  <c r="M61" i="13"/>
  <c r="J61" i="13"/>
  <c r="K138" i="13"/>
  <c r="L138" i="13"/>
  <c r="J138" i="13"/>
  <c r="M138" i="13"/>
  <c r="I197" i="13"/>
  <c r="H116" i="10" s="1"/>
  <c r="M48" i="13"/>
  <c r="L48" i="13"/>
  <c r="J48" i="13"/>
  <c r="K48" i="13"/>
  <c r="L92" i="13"/>
  <c r="J92" i="13"/>
  <c r="J248" i="13"/>
  <c r="L248" i="13"/>
  <c r="K248" i="13"/>
  <c r="M248" i="13"/>
  <c r="L194" i="13"/>
  <c r="M194" i="13"/>
  <c r="K194" i="13"/>
  <c r="J194" i="13"/>
  <c r="J150" i="13"/>
  <c r="L150" i="13"/>
  <c r="K150" i="13"/>
  <c r="M150" i="13"/>
  <c r="L250" i="13"/>
  <c r="M250" i="13"/>
  <c r="K250" i="13"/>
  <c r="J250" i="13"/>
  <c r="K205" i="13"/>
  <c r="L205" i="13"/>
  <c r="J205" i="13"/>
  <c r="M205" i="13"/>
  <c r="L132" i="13"/>
  <c r="M132" i="13"/>
  <c r="K132" i="13"/>
  <c r="J132" i="13"/>
  <c r="J79" i="13"/>
  <c r="M79" i="13"/>
  <c r="L79" i="13"/>
  <c r="K79" i="13"/>
  <c r="I62" i="13"/>
  <c r="H138" i="10" s="1"/>
  <c r="J39" i="13"/>
  <c r="M39" i="13"/>
  <c r="L39" i="13"/>
  <c r="K39" i="13"/>
  <c r="J120" i="13"/>
  <c r="M120" i="13"/>
  <c r="L120" i="13"/>
  <c r="K120" i="13"/>
  <c r="L168" i="13"/>
  <c r="J168" i="13"/>
  <c r="M168" i="13"/>
  <c r="K168" i="13"/>
  <c r="K210" i="13"/>
  <c r="J210" i="13"/>
  <c r="L210" i="13"/>
  <c r="M210" i="13"/>
  <c r="J222" i="13"/>
  <c r="K222" i="13"/>
  <c r="M222" i="13"/>
  <c r="L222" i="13"/>
  <c r="M156" i="13"/>
  <c r="M161" i="13" s="1"/>
  <c r="L133" i="10" s="1"/>
  <c r="K156" i="13"/>
  <c r="K161" i="13" s="1"/>
  <c r="J133" i="10" s="1"/>
  <c r="J156" i="13"/>
  <c r="L156" i="13"/>
  <c r="I224" i="13"/>
  <c r="H130" i="10" s="1"/>
  <c r="M249" i="13"/>
  <c r="L249" i="13"/>
  <c r="K249" i="13"/>
  <c r="J249" i="13"/>
  <c r="K78" i="13"/>
  <c r="J78" i="13"/>
  <c r="M78" i="13"/>
  <c r="L78" i="13"/>
  <c r="K29" i="13"/>
  <c r="M29" i="13"/>
  <c r="L29" i="13"/>
  <c r="J29" i="13"/>
  <c r="L77" i="13"/>
  <c r="K77" i="13"/>
  <c r="M77" i="13"/>
  <c r="J77" i="13"/>
  <c r="I143" i="13"/>
  <c r="H125" i="10" s="1"/>
  <c r="L65" i="13"/>
  <c r="K65" i="13"/>
  <c r="J65" i="13"/>
  <c r="M65" i="13"/>
  <c r="L24" i="13"/>
  <c r="J24" i="13"/>
  <c r="K24" i="13"/>
  <c r="M24" i="13"/>
  <c r="L204" i="13"/>
  <c r="K204" i="13"/>
  <c r="J204" i="13"/>
  <c r="M204" i="13"/>
  <c r="K66" i="13"/>
  <c r="J66" i="13"/>
  <c r="M66" i="13"/>
  <c r="L66" i="13"/>
  <c r="I53" i="13"/>
  <c r="H136" i="10" s="1"/>
  <c r="L15" i="13"/>
  <c r="K15" i="13"/>
  <c r="M15" i="13"/>
  <c r="J15" i="13"/>
  <c r="I206" i="13"/>
  <c r="H119" i="10" s="1"/>
  <c r="K34" i="13"/>
  <c r="J34" i="13"/>
  <c r="M34" i="13"/>
  <c r="L34" i="13"/>
  <c r="K119" i="13"/>
  <c r="J119" i="13"/>
  <c r="M119" i="13"/>
  <c r="L119" i="13"/>
  <c r="K149" i="13"/>
  <c r="L149" i="13"/>
  <c r="J149" i="13"/>
  <c r="M149" i="13"/>
  <c r="K195" i="13"/>
  <c r="M195" i="13"/>
  <c r="L195" i="13"/>
  <c r="J195" i="13"/>
  <c r="M52" i="13"/>
  <c r="L52" i="13"/>
  <c r="K52" i="13"/>
  <c r="J52" i="13"/>
  <c r="M68" i="13"/>
  <c r="L68" i="13"/>
  <c r="K68" i="13"/>
  <c r="J68" i="13"/>
  <c r="J75" i="13"/>
  <c r="M75" i="13"/>
  <c r="K75" i="13"/>
  <c r="L75" i="13"/>
  <c r="M14" i="13"/>
  <c r="K14" i="13"/>
  <c r="J14" i="13"/>
  <c r="L14" i="13"/>
  <c r="M105" i="13"/>
  <c r="L105" i="13"/>
  <c r="K105" i="13"/>
  <c r="J105" i="13"/>
  <c r="J165" i="13"/>
  <c r="M165" i="13"/>
  <c r="L165" i="13"/>
  <c r="K165" i="13"/>
  <c r="K123" i="13"/>
  <c r="J123" i="13"/>
  <c r="M123" i="13"/>
  <c r="L123" i="13"/>
  <c r="I35" i="13"/>
  <c r="H124" i="10" s="1"/>
  <c r="L106" i="13"/>
  <c r="K106" i="13"/>
  <c r="M106" i="13"/>
  <c r="J106" i="13"/>
  <c r="K241" i="13"/>
  <c r="M241" i="13"/>
  <c r="L241" i="13"/>
  <c r="J241" i="13"/>
  <c r="I134" i="13"/>
  <c r="H122" i="10" s="1"/>
  <c r="K257" i="13"/>
  <c r="L257" i="13"/>
  <c r="J257" i="13"/>
  <c r="M257" i="13"/>
  <c r="M88" i="13"/>
  <c r="L88" i="13"/>
  <c r="K88" i="13"/>
  <c r="J88" i="13"/>
  <c r="L255" i="13"/>
  <c r="L260" i="13" s="1"/>
  <c r="K141" i="10" s="1"/>
  <c r="K255" i="13"/>
  <c r="J255" i="13"/>
  <c r="M255" i="13"/>
  <c r="M260" i="13" s="1"/>
  <c r="L141" i="10" s="1"/>
  <c r="J83" i="13"/>
  <c r="M83" i="13"/>
  <c r="L83" i="13"/>
  <c r="K83" i="13"/>
  <c r="J43" i="13"/>
  <c r="M43" i="13"/>
  <c r="K43" i="13"/>
  <c r="L43" i="13"/>
  <c r="I170" i="13"/>
  <c r="H134" i="10" s="1"/>
  <c r="I116" i="13"/>
  <c r="H137" i="10" s="1"/>
  <c r="M151" i="13"/>
  <c r="L151" i="13"/>
  <c r="K151" i="13"/>
  <c r="J151" i="13"/>
  <c r="M239" i="13"/>
  <c r="L239" i="13"/>
  <c r="K239" i="13"/>
  <c r="J239" i="13"/>
  <c r="I89" i="13"/>
  <c r="H140" i="10" s="1"/>
  <c r="L69" i="13"/>
  <c r="K69" i="13"/>
  <c r="J69" i="13"/>
  <c r="M69" i="13"/>
  <c r="K70" i="13"/>
  <c r="J70" i="13"/>
  <c r="M70" i="13"/>
  <c r="L70" i="13"/>
  <c r="K16" i="13"/>
  <c r="L16" i="13"/>
  <c r="J16" i="13"/>
  <c r="M16" i="13"/>
  <c r="I71" i="13"/>
  <c r="H115" i="10" s="1"/>
  <c r="J237" i="13"/>
  <c r="L237" i="13"/>
  <c r="K237" i="13"/>
  <c r="M237" i="13"/>
  <c r="L147" i="13"/>
  <c r="K147" i="13"/>
  <c r="J147" i="13"/>
  <c r="M147" i="13"/>
  <c r="M152" i="13" s="1"/>
  <c r="L128" i="10" s="1"/>
  <c r="L240" i="13"/>
  <c r="M240" i="13"/>
  <c r="K240" i="13"/>
  <c r="J240" i="13"/>
  <c r="I98" i="13"/>
  <c r="H144" i="10" s="1"/>
  <c r="J51" i="13"/>
  <c r="M51" i="13"/>
  <c r="L51" i="13"/>
  <c r="K51" i="13"/>
  <c r="M23" i="13"/>
  <c r="J23" i="13"/>
  <c r="L23" i="13"/>
  <c r="K23" i="13"/>
  <c r="J124" i="13"/>
  <c r="M124" i="13"/>
  <c r="K124" i="13"/>
  <c r="L124" i="13"/>
  <c r="K169" i="13"/>
  <c r="J169" i="13"/>
  <c r="M169" i="13"/>
  <c r="L169" i="13"/>
  <c r="J212" i="13"/>
  <c r="K212" i="13"/>
  <c r="M212" i="13"/>
  <c r="L212" i="13"/>
  <c r="I233" i="13"/>
  <c r="H127" i="10" s="1"/>
  <c r="M131" i="13"/>
  <c r="L131" i="13"/>
  <c r="K131" i="13"/>
  <c r="J131" i="13"/>
  <c r="M141" i="13"/>
  <c r="L141" i="13"/>
  <c r="K141" i="13"/>
  <c r="J141" i="13"/>
  <c r="M167" i="13"/>
  <c r="J167" i="13"/>
  <c r="L167" i="13"/>
  <c r="K167" i="13"/>
  <c r="M192" i="13"/>
  <c r="L192" i="13"/>
  <c r="L197" i="13" s="1"/>
  <c r="K116" i="10" s="1"/>
  <c r="K192" i="13"/>
  <c r="J192" i="13"/>
  <c r="M223" i="13"/>
  <c r="K223" i="13"/>
  <c r="J223" i="13"/>
  <c r="L223" i="13"/>
  <c r="I260" i="13"/>
  <c r="H141" i="10" s="1"/>
  <c r="I80" i="13"/>
  <c r="H139" i="10" s="1"/>
  <c r="K133" i="13"/>
  <c r="M133" i="13"/>
  <c r="L133" i="13"/>
  <c r="J133" i="13"/>
  <c r="K42" i="13"/>
  <c r="J42" i="13"/>
  <c r="M42" i="13"/>
  <c r="L42" i="13"/>
  <c r="I125" i="13"/>
  <c r="H142" i="10" s="1"/>
  <c r="I44" i="13"/>
  <c r="H117" i="10" s="1"/>
  <c r="K21" i="13"/>
  <c r="J26" i="13"/>
  <c r="I132" i="10" s="1"/>
  <c r="L41" i="13"/>
  <c r="K41" i="13"/>
  <c r="M41" i="13"/>
  <c r="J41" i="13"/>
  <c r="I17" i="13"/>
  <c r="H121" i="10" s="1"/>
  <c r="L101" i="13"/>
  <c r="K101" i="13"/>
  <c r="J101" i="13"/>
  <c r="J107" i="13" s="1"/>
  <c r="I143" i="10" s="1"/>
  <c r="M101" i="13"/>
  <c r="K86" i="13"/>
  <c r="J86" i="13"/>
  <c r="M86" i="13"/>
  <c r="L86" i="13"/>
  <c r="L32" i="13"/>
  <c r="M32" i="13"/>
  <c r="K32" i="13"/>
  <c r="J32" i="13"/>
  <c r="L122" i="13"/>
  <c r="K122" i="13"/>
  <c r="M122" i="13"/>
  <c r="J122" i="13"/>
  <c r="I161" i="13"/>
  <c r="H133" i="10" s="1"/>
  <c r="K246" i="13"/>
  <c r="L246" i="13"/>
  <c r="L251" i="13" s="1"/>
  <c r="K135" i="10" s="1"/>
  <c r="J246" i="13"/>
  <c r="M246" i="13"/>
  <c r="M56" i="13"/>
  <c r="L56" i="13"/>
  <c r="L62" i="13" s="1"/>
  <c r="K138" i="10" s="1"/>
  <c r="J56" i="13"/>
  <c r="K56" i="13"/>
  <c r="K62" i="13" s="1"/>
  <c r="J138" i="10" s="1"/>
  <c r="M84" i="13"/>
  <c r="L84" i="13"/>
  <c r="J84" i="13"/>
  <c r="K84" i="13"/>
  <c r="I107" i="13"/>
  <c r="H143" i="10" s="1"/>
  <c r="M143" i="10" s="1"/>
  <c r="D31" i="10" s="1"/>
  <c r="R20" i="12"/>
  <c r="R21" i="12" s="1"/>
  <c r="Q20" i="12"/>
  <c r="Q21" i="12" s="1"/>
  <c r="O21" i="12"/>
  <c r="P20" i="12"/>
  <c r="P21" i="12" s="1"/>
  <c r="F23" i="3"/>
  <c r="D33" i="9" s="1"/>
  <c r="F34" i="3"/>
  <c r="F35" i="3"/>
  <c r="AI33" i="9" l="1"/>
  <c r="AG35" i="6" s="1"/>
  <c r="AH33" i="9"/>
  <c r="AF35" i="6" s="1"/>
  <c r="AG33" i="9"/>
  <c r="AE35" i="6" s="1"/>
  <c r="N127" i="10"/>
  <c r="M127" i="10"/>
  <c r="D15" i="10" s="1"/>
  <c r="M242" i="13"/>
  <c r="L126" i="10" s="1"/>
  <c r="N137" i="10"/>
  <c r="M137" i="10"/>
  <c r="D25" i="10" s="1"/>
  <c r="K89" i="13"/>
  <c r="J140" i="10" s="1"/>
  <c r="M71" i="13"/>
  <c r="L115" i="10" s="1"/>
  <c r="J71" i="13"/>
  <c r="I115" i="10" s="1"/>
  <c r="J215" i="13"/>
  <c r="I131" i="10" s="1"/>
  <c r="M143" i="13"/>
  <c r="L125" i="10" s="1"/>
  <c r="J17" i="13"/>
  <c r="I121" i="10" s="1"/>
  <c r="K44" i="13"/>
  <c r="J117" i="10" s="1"/>
  <c r="L224" i="13"/>
  <c r="K130" i="10" s="1"/>
  <c r="K53" i="13"/>
  <c r="J136" i="10" s="1"/>
  <c r="M287" i="13"/>
  <c r="L118" i="10" s="1"/>
  <c r="L287" i="13"/>
  <c r="K118" i="10" s="1"/>
  <c r="K287" i="13"/>
  <c r="J118" i="10" s="1"/>
  <c r="J287" i="13"/>
  <c r="I118" i="10" s="1"/>
  <c r="N118" i="10" s="1"/>
  <c r="J278" i="13"/>
  <c r="I120" i="10" s="1"/>
  <c r="M278" i="13"/>
  <c r="L120" i="10" s="1"/>
  <c r="L278" i="13"/>
  <c r="K120" i="10" s="1"/>
  <c r="K278" i="13"/>
  <c r="J120" i="10" s="1"/>
  <c r="M269" i="13"/>
  <c r="L114" i="10" s="1"/>
  <c r="K269" i="13"/>
  <c r="J114" i="10" s="1"/>
  <c r="L269" i="13"/>
  <c r="K114" i="10" s="1"/>
  <c r="J269" i="13"/>
  <c r="I114" i="10" s="1"/>
  <c r="J179" i="13"/>
  <c r="I129" i="10" s="1"/>
  <c r="K179" i="13"/>
  <c r="J129" i="10" s="1"/>
  <c r="L179" i="13"/>
  <c r="K129" i="10" s="1"/>
  <c r="M179" i="13"/>
  <c r="L129" i="10" s="1"/>
  <c r="E81" i="10"/>
  <c r="F54" i="6"/>
  <c r="J152" i="13"/>
  <c r="I128" i="10" s="1"/>
  <c r="G33" i="14"/>
  <c r="J206" i="13"/>
  <c r="I119" i="10" s="1"/>
  <c r="K80" i="13"/>
  <c r="J139" i="10" s="1"/>
  <c r="J53" i="13"/>
  <c r="I136" i="10" s="1"/>
  <c r="M62" i="13"/>
  <c r="L138" i="10" s="1"/>
  <c r="K107" i="13"/>
  <c r="J143" i="10" s="1"/>
  <c r="K242" i="13"/>
  <c r="J126" i="10" s="1"/>
  <c r="L89" i="13"/>
  <c r="K140" i="10" s="1"/>
  <c r="J170" i="13"/>
  <c r="I134" i="10" s="1"/>
  <c r="J35" i="13"/>
  <c r="I124" i="10" s="1"/>
  <c r="K215" i="13"/>
  <c r="J131" i="10" s="1"/>
  <c r="L98" i="13"/>
  <c r="K144" i="10" s="1"/>
  <c r="J143" i="13"/>
  <c r="I125" i="10" s="1"/>
  <c r="L206" i="13"/>
  <c r="K119" i="10" s="1"/>
  <c r="L80" i="13"/>
  <c r="K139" i="10" s="1"/>
  <c r="M17" i="13"/>
  <c r="L121" i="10" s="1"/>
  <c r="L44" i="13"/>
  <c r="K117" i="10" s="1"/>
  <c r="K224" i="13"/>
  <c r="J130" i="10" s="1"/>
  <c r="K134" i="13"/>
  <c r="J122" i="10" s="1"/>
  <c r="J188" i="13"/>
  <c r="I123" i="10" s="1"/>
  <c r="M251" i="13"/>
  <c r="L135" i="10" s="1"/>
  <c r="L107" i="13"/>
  <c r="K143" i="10" s="1"/>
  <c r="J197" i="13"/>
  <c r="I116" i="10" s="1"/>
  <c r="K152" i="13"/>
  <c r="J128" i="10" s="1"/>
  <c r="L242" i="13"/>
  <c r="K126" i="10" s="1"/>
  <c r="M89" i="13"/>
  <c r="L140" i="10" s="1"/>
  <c r="K260" i="13"/>
  <c r="J141" i="10" s="1"/>
  <c r="K170" i="13"/>
  <c r="J134" i="10" s="1"/>
  <c r="L125" i="13"/>
  <c r="K142" i="10" s="1"/>
  <c r="K71" i="13"/>
  <c r="J115" i="10" s="1"/>
  <c r="L35" i="13"/>
  <c r="K124" i="10" s="1"/>
  <c r="L161" i="13"/>
  <c r="K133" i="10" s="1"/>
  <c r="M215" i="13"/>
  <c r="L131" i="10" s="1"/>
  <c r="M98" i="13"/>
  <c r="L144" i="10" s="1"/>
  <c r="L143" i="13"/>
  <c r="K125" i="10" s="1"/>
  <c r="M206" i="13"/>
  <c r="L119" i="10" s="1"/>
  <c r="M80" i="13"/>
  <c r="L139" i="10" s="1"/>
  <c r="L17" i="13"/>
  <c r="K121" i="10" s="1"/>
  <c r="M44" i="13"/>
  <c r="L117" i="10" s="1"/>
  <c r="M224" i="13"/>
  <c r="L130" i="10" s="1"/>
  <c r="L134" i="13"/>
  <c r="K122" i="10" s="1"/>
  <c r="L53" i="13"/>
  <c r="K136" i="10" s="1"/>
  <c r="K188" i="13"/>
  <c r="J123" i="10" s="1"/>
  <c r="M170" i="13"/>
  <c r="L134" i="10" s="1"/>
  <c r="J125" i="13"/>
  <c r="I142" i="10" s="1"/>
  <c r="K35" i="13"/>
  <c r="J124" i="10" s="1"/>
  <c r="J98" i="13"/>
  <c r="I144" i="10" s="1"/>
  <c r="J134" i="13"/>
  <c r="I122" i="10" s="1"/>
  <c r="L188" i="13"/>
  <c r="K123" i="10" s="1"/>
  <c r="K251" i="13"/>
  <c r="J135" i="10" s="1"/>
  <c r="K26" i="13"/>
  <c r="J132" i="10" s="1"/>
  <c r="L21" i="13"/>
  <c r="M197" i="13"/>
  <c r="L116" i="10" s="1"/>
  <c r="J260" i="13"/>
  <c r="I141" i="10" s="1"/>
  <c r="K125" i="13"/>
  <c r="J142" i="10" s="1"/>
  <c r="J62" i="13"/>
  <c r="I138" i="10" s="1"/>
  <c r="J251" i="13"/>
  <c r="I135" i="10" s="1"/>
  <c r="M107" i="13"/>
  <c r="L143" i="10" s="1"/>
  <c r="K197" i="13"/>
  <c r="J116" i="10" s="1"/>
  <c r="L152" i="13"/>
  <c r="K128" i="10" s="1"/>
  <c r="J242" i="13"/>
  <c r="I126" i="10" s="1"/>
  <c r="J89" i="13"/>
  <c r="I140" i="10" s="1"/>
  <c r="L170" i="13"/>
  <c r="K134" i="10" s="1"/>
  <c r="M125" i="13"/>
  <c r="L142" i="10" s="1"/>
  <c r="L71" i="13"/>
  <c r="K115" i="10" s="1"/>
  <c r="M35" i="13"/>
  <c r="L124" i="10" s="1"/>
  <c r="J161" i="13"/>
  <c r="I133" i="10" s="1"/>
  <c r="L215" i="13"/>
  <c r="K131" i="10" s="1"/>
  <c r="K98" i="13"/>
  <c r="J144" i="10" s="1"/>
  <c r="K143" i="13"/>
  <c r="J125" i="10" s="1"/>
  <c r="K206" i="13"/>
  <c r="J119" i="10" s="1"/>
  <c r="J80" i="13"/>
  <c r="I139" i="10" s="1"/>
  <c r="K17" i="13"/>
  <c r="J121" i="10" s="1"/>
  <c r="J44" i="13"/>
  <c r="I117" i="10" s="1"/>
  <c r="J224" i="13"/>
  <c r="I130" i="10" s="1"/>
  <c r="M134" i="13"/>
  <c r="L122" i="10" s="1"/>
  <c r="M53" i="13"/>
  <c r="L136" i="10" s="1"/>
  <c r="M188" i="13"/>
  <c r="L123" i="10" s="1"/>
  <c r="AF33" i="9"/>
  <c r="AD35" i="6" s="1"/>
  <c r="AB33" i="9"/>
  <c r="Z35" i="6" s="1"/>
  <c r="X33" i="9"/>
  <c r="V35" i="6" s="1"/>
  <c r="T33" i="9"/>
  <c r="R35" i="6" s="1"/>
  <c r="AE33" i="9"/>
  <c r="AC35" i="6" s="1"/>
  <c r="Z33" i="9"/>
  <c r="X35" i="6" s="1"/>
  <c r="U33" i="9"/>
  <c r="S35" i="6" s="1"/>
  <c r="Q33" i="9"/>
  <c r="O35" i="6" s="1"/>
  <c r="M33" i="9"/>
  <c r="K35" i="6" s="1"/>
  <c r="I33" i="9"/>
  <c r="G35" i="6" s="1"/>
  <c r="E33" i="9"/>
  <c r="C35" i="6" s="1"/>
  <c r="Y33" i="9"/>
  <c r="W35" i="6" s="1"/>
  <c r="S33" i="9"/>
  <c r="Q35" i="6" s="1"/>
  <c r="P33" i="9"/>
  <c r="N35" i="6" s="1"/>
  <c r="L33" i="9"/>
  <c r="J35" i="6" s="1"/>
  <c r="H33" i="9"/>
  <c r="F35" i="6" s="1"/>
  <c r="AD33" i="9"/>
  <c r="AB35" i="6" s="1"/>
  <c r="AA33" i="9"/>
  <c r="Y35" i="6" s="1"/>
  <c r="W33" i="9"/>
  <c r="U35" i="6" s="1"/>
  <c r="R33" i="9"/>
  <c r="P35" i="6" s="1"/>
  <c r="O33" i="9"/>
  <c r="M35" i="6" s="1"/>
  <c r="G33" i="9"/>
  <c r="E35" i="6" s="1"/>
  <c r="AC33" i="9"/>
  <c r="AA35" i="6" s="1"/>
  <c r="N33" i="9"/>
  <c r="L35" i="6" s="1"/>
  <c r="K33" i="9"/>
  <c r="I35" i="6" s="1"/>
  <c r="F33" i="9"/>
  <c r="D35" i="6" s="1"/>
  <c r="V33" i="9"/>
  <c r="T35" i="6" s="1"/>
  <c r="J33" i="9"/>
  <c r="H35" i="6" s="1"/>
  <c r="G34" i="3"/>
  <c r="G23" i="3"/>
  <c r="F18" i="3"/>
  <c r="G18" i="3" s="1"/>
  <c r="N130" i="10" l="1"/>
  <c r="M130" i="10"/>
  <c r="D18" i="10" s="1"/>
  <c r="N117" i="10"/>
  <c r="M117" i="10"/>
  <c r="D5" i="10" s="1"/>
  <c r="N139" i="10"/>
  <c r="M139" i="10"/>
  <c r="D27" i="10" s="1"/>
  <c r="N133" i="10"/>
  <c r="M133" i="10"/>
  <c r="D21" i="10" s="1"/>
  <c r="N140" i="10"/>
  <c r="M140" i="10"/>
  <c r="D28" i="10" s="1"/>
  <c r="N126" i="10"/>
  <c r="N135" i="10"/>
  <c r="N138" i="10"/>
  <c r="M138" i="10"/>
  <c r="D26" i="10" s="1"/>
  <c r="N141" i="10"/>
  <c r="M141" i="10"/>
  <c r="D29" i="10" s="1"/>
  <c r="N122" i="10"/>
  <c r="M122" i="10"/>
  <c r="D10" i="10" s="1"/>
  <c r="N142" i="10"/>
  <c r="M142" i="10"/>
  <c r="D30" i="10" s="1"/>
  <c r="N116" i="10"/>
  <c r="M116" i="10"/>
  <c r="D4" i="10" s="1"/>
  <c r="N125" i="10"/>
  <c r="M125" i="10"/>
  <c r="D13" i="10" s="1"/>
  <c r="N124" i="10"/>
  <c r="M124" i="10"/>
  <c r="D12" i="10" s="1"/>
  <c r="N134" i="10"/>
  <c r="M134" i="10"/>
  <c r="D22" i="10" s="1"/>
  <c r="N136" i="10"/>
  <c r="M136" i="10"/>
  <c r="D24" i="10" s="1"/>
  <c r="N119" i="10"/>
  <c r="M119" i="10"/>
  <c r="D7" i="10" s="1"/>
  <c r="N129" i="10"/>
  <c r="N114" i="10"/>
  <c r="M114" i="10"/>
  <c r="D2" i="10" s="1"/>
  <c r="N120" i="10"/>
  <c r="M118" i="10"/>
  <c r="D6" i="10" s="1"/>
  <c r="O118" i="10"/>
  <c r="C6" i="10" s="1"/>
  <c r="D8" i="14" s="1"/>
  <c r="G8" i="14" s="1"/>
  <c r="E6" i="10"/>
  <c r="E8" i="14" s="1"/>
  <c r="N121" i="10"/>
  <c r="M121" i="10"/>
  <c r="D9" i="10" s="1"/>
  <c r="N131" i="10"/>
  <c r="M131" i="10"/>
  <c r="D19" i="10" s="1"/>
  <c r="N115" i="10"/>
  <c r="M115" i="10"/>
  <c r="D3" i="10" s="1"/>
  <c r="O137" i="10"/>
  <c r="C25" i="10" s="1"/>
  <c r="D27" i="14" s="1"/>
  <c r="G27" i="14" s="1"/>
  <c r="E25" i="10"/>
  <c r="E27" i="14" s="1"/>
  <c r="E15" i="10"/>
  <c r="E17" i="14" s="1"/>
  <c r="O127" i="10"/>
  <c r="C15" i="10" s="1"/>
  <c r="D17" i="14" s="1"/>
  <c r="G17" i="14" s="1"/>
  <c r="F55" i="6"/>
  <c r="E83" i="10" s="1"/>
  <c r="E82" i="10"/>
  <c r="N128" i="10"/>
  <c r="E16" i="10" s="1"/>
  <c r="E18" i="14" s="1"/>
  <c r="N144" i="10"/>
  <c r="E32" i="10" s="1"/>
  <c r="E34" i="14" s="1"/>
  <c r="N123" i="10"/>
  <c r="E11" i="10" s="1"/>
  <c r="E13" i="14" s="1"/>
  <c r="L26" i="13"/>
  <c r="K132" i="10" s="1"/>
  <c r="M21" i="13"/>
  <c r="M26" i="13" s="1"/>
  <c r="L132" i="10" s="1"/>
  <c r="F19" i="3"/>
  <c r="F20" i="3"/>
  <c r="F21" i="3"/>
  <c r="F22" i="3"/>
  <c r="F24" i="3"/>
  <c r="F25" i="3"/>
  <c r="F26" i="3"/>
  <c r="F27" i="3"/>
  <c r="F28" i="3"/>
  <c r="F29" i="3"/>
  <c r="F30" i="3"/>
  <c r="F31" i="3"/>
  <c r="F32" i="3"/>
  <c r="F33" i="3"/>
  <c r="D44" i="9"/>
  <c r="D28" i="9"/>
  <c r="AI28" i="9" l="1"/>
  <c r="AH28" i="9"/>
  <c r="AG28" i="9"/>
  <c r="AI44" i="9"/>
  <c r="AG46" i="6" s="1"/>
  <c r="AH44" i="9"/>
  <c r="AF46" i="6" s="1"/>
  <c r="AG44" i="9"/>
  <c r="AE46" i="6" s="1"/>
  <c r="N132" i="10"/>
  <c r="E3" i="10"/>
  <c r="E5" i="14" s="1"/>
  <c r="O115" i="10"/>
  <c r="C3" i="10" s="1"/>
  <c r="D5" i="14" s="1"/>
  <c r="G5" i="14" s="1"/>
  <c r="E19" i="10"/>
  <c r="E21" i="14" s="1"/>
  <c r="O131" i="10"/>
  <c r="C19" i="10" s="1"/>
  <c r="D21" i="14" s="1"/>
  <c r="G21" i="14" s="1"/>
  <c r="E9" i="10"/>
  <c r="E11" i="14" s="1"/>
  <c r="O121" i="10"/>
  <c r="C9" i="10" s="1"/>
  <c r="D11" i="14" s="1"/>
  <c r="G11" i="14" s="1"/>
  <c r="M120" i="10"/>
  <c r="D8" i="10" s="1"/>
  <c r="O120" i="10"/>
  <c r="C8" i="10" s="1"/>
  <c r="D10" i="14" s="1"/>
  <c r="G10" i="14" s="1"/>
  <c r="E8" i="10"/>
  <c r="E10" i="14" s="1"/>
  <c r="O114" i="10"/>
  <c r="C2" i="10" s="1"/>
  <c r="D4" i="14" s="1"/>
  <c r="G4" i="14" s="1"/>
  <c r="E2" i="10"/>
  <c r="E4" i="14" s="1"/>
  <c r="O129" i="10"/>
  <c r="C17" i="10" s="1"/>
  <c r="D19" i="14" s="1"/>
  <c r="G19" i="14" s="1"/>
  <c r="E17" i="10"/>
  <c r="E19" i="14" s="1"/>
  <c r="M129" i="10"/>
  <c r="D17" i="10" s="1"/>
  <c r="O119" i="10"/>
  <c r="C7" i="10" s="1"/>
  <c r="D9" i="14" s="1"/>
  <c r="G9" i="14" s="1"/>
  <c r="E7" i="10"/>
  <c r="E9" i="14" s="1"/>
  <c r="E24" i="10"/>
  <c r="E26" i="14" s="1"/>
  <c r="O136" i="10"/>
  <c r="C24" i="10" s="1"/>
  <c r="D26" i="14" s="1"/>
  <c r="G26" i="14" s="1"/>
  <c r="E22" i="10"/>
  <c r="E24" i="14" s="1"/>
  <c r="O134" i="10"/>
  <c r="C22" i="10" s="1"/>
  <c r="D24" i="14" s="1"/>
  <c r="G24" i="14" s="1"/>
  <c r="E12" i="10"/>
  <c r="E14" i="14" s="1"/>
  <c r="O124" i="10"/>
  <c r="C12" i="10" s="1"/>
  <c r="D14" i="14" s="1"/>
  <c r="G14" i="14" s="1"/>
  <c r="E13" i="10"/>
  <c r="E15" i="14" s="1"/>
  <c r="O125" i="10"/>
  <c r="C13" i="10" s="1"/>
  <c r="D15" i="14" s="1"/>
  <c r="G15" i="14" s="1"/>
  <c r="E4" i="10"/>
  <c r="E6" i="14" s="1"/>
  <c r="O116" i="10"/>
  <c r="C4" i="10" s="1"/>
  <c r="D6" i="14" s="1"/>
  <c r="G6" i="14" s="1"/>
  <c r="E30" i="10"/>
  <c r="E32" i="14" s="1"/>
  <c r="O142" i="10"/>
  <c r="C30" i="10" s="1"/>
  <c r="D32" i="14" s="1"/>
  <c r="G32" i="14" s="1"/>
  <c r="O122" i="10"/>
  <c r="C10" i="10" s="1"/>
  <c r="D12" i="14" s="1"/>
  <c r="G12" i="14" s="1"/>
  <c r="E10" i="10"/>
  <c r="E12" i="14" s="1"/>
  <c r="E29" i="10"/>
  <c r="E31" i="14" s="1"/>
  <c r="O141" i="10"/>
  <c r="C29" i="10" s="1"/>
  <c r="D31" i="14" s="1"/>
  <c r="G31" i="14" s="1"/>
  <c r="O138" i="10"/>
  <c r="C26" i="10" s="1"/>
  <c r="D28" i="14" s="1"/>
  <c r="G28" i="14" s="1"/>
  <c r="E26" i="10"/>
  <c r="E28" i="14" s="1"/>
  <c r="E23" i="10"/>
  <c r="E25" i="14" s="1"/>
  <c r="O135" i="10"/>
  <c r="C23" i="10" s="1"/>
  <c r="D25" i="14" s="1"/>
  <c r="G25" i="14" s="1"/>
  <c r="M135" i="10"/>
  <c r="D23" i="10" s="1"/>
  <c r="E14" i="10"/>
  <c r="E16" i="14" s="1"/>
  <c r="O126" i="10"/>
  <c r="C14" i="10" s="1"/>
  <c r="D16" i="14" s="1"/>
  <c r="G16" i="14" s="1"/>
  <c r="M126" i="10"/>
  <c r="D14" i="10" s="1"/>
  <c r="O140" i="10"/>
  <c r="C28" i="10" s="1"/>
  <c r="D30" i="14" s="1"/>
  <c r="G30" i="14" s="1"/>
  <c r="E28" i="10"/>
  <c r="E30" i="14" s="1"/>
  <c r="E21" i="10"/>
  <c r="E23" i="14" s="1"/>
  <c r="O133" i="10"/>
  <c r="C21" i="10" s="1"/>
  <c r="D23" i="14" s="1"/>
  <c r="G23" i="14" s="1"/>
  <c r="E27" i="10"/>
  <c r="E29" i="14" s="1"/>
  <c r="O139" i="10"/>
  <c r="C27" i="10" s="1"/>
  <c r="D29" i="14" s="1"/>
  <c r="G29" i="14" s="1"/>
  <c r="E5" i="10"/>
  <c r="E7" i="14" s="1"/>
  <c r="O117" i="10"/>
  <c r="C5" i="10" s="1"/>
  <c r="D7" i="14" s="1"/>
  <c r="G7" i="14" s="1"/>
  <c r="O130" i="10"/>
  <c r="C18" i="10" s="1"/>
  <c r="D20" i="14" s="1"/>
  <c r="G20" i="14" s="1"/>
  <c r="E18" i="10"/>
  <c r="E20" i="14" s="1"/>
  <c r="F56" i="6"/>
  <c r="E84" i="10" s="1"/>
  <c r="M128" i="10"/>
  <c r="D16" i="10" s="1"/>
  <c r="O128" i="10"/>
  <c r="C16" i="10" s="1"/>
  <c r="D18" i="14" s="1"/>
  <c r="G18" i="14" s="1"/>
  <c r="M123" i="10"/>
  <c r="D11" i="10" s="1"/>
  <c r="M144" i="10"/>
  <c r="D32" i="10" s="1"/>
  <c r="O144" i="10"/>
  <c r="C32" i="10" s="1"/>
  <c r="D34" i="14" s="1"/>
  <c r="O123" i="10"/>
  <c r="C11" i="10" s="1"/>
  <c r="D13" i="14" s="1"/>
  <c r="AC28" i="9"/>
  <c r="Y28" i="9"/>
  <c r="U28" i="9"/>
  <c r="AF28" i="9"/>
  <c r="Z28" i="9"/>
  <c r="T28" i="9"/>
  <c r="N28" i="9"/>
  <c r="J28" i="9"/>
  <c r="F28" i="9"/>
  <c r="S28" i="9"/>
  <c r="M28" i="9"/>
  <c r="I28" i="9"/>
  <c r="AE28" i="9"/>
  <c r="X28" i="9"/>
  <c r="Q28" i="9"/>
  <c r="AA28" i="9"/>
  <c r="L28" i="9"/>
  <c r="AB28" i="9"/>
  <c r="V28" i="9"/>
  <c r="K28" i="9"/>
  <c r="W28" i="9"/>
  <c r="R28" i="9"/>
  <c r="P28" i="9"/>
  <c r="H28" i="9"/>
  <c r="E28" i="9"/>
  <c r="AD28" i="9"/>
  <c r="O28" i="9"/>
  <c r="G28" i="9"/>
  <c r="AC44" i="9"/>
  <c r="AA46" i="6" s="1"/>
  <c r="Y44" i="9"/>
  <c r="W46" i="6" s="1"/>
  <c r="U44" i="9"/>
  <c r="S46" i="6" s="1"/>
  <c r="Q44" i="9"/>
  <c r="O46" i="6" s="1"/>
  <c r="AF44" i="9"/>
  <c r="AD46" i="6" s="1"/>
  <c r="Z44" i="9"/>
  <c r="X46" i="6" s="1"/>
  <c r="T44" i="9"/>
  <c r="R46" i="6" s="1"/>
  <c r="N44" i="9"/>
  <c r="L46" i="6" s="1"/>
  <c r="J44" i="9"/>
  <c r="H46" i="6" s="1"/>
  <c r="F44" i="9"/>
  <c r="D46" i="6" s="1"/>
  <c r="AE44" i="9"/>
  <c r="AC46" i="6" s="1"/>
  <c r="X44" i="9"/>
  <c r="V46" i="6" s="1"/>
  <c r="S44" i="9"/>
  <c r="Q46" i="6" s="1"/>
  <c r="M44" i="9"/>
  <c r="K46" i="6" s="1"/>
  <c r="I44" i="9"/>
  <c r="G46" i="6" s="1"/>
  <c r="AA44" i="9"/>
  <c r="Y46" i="6" s="1"/>
  <c r="W44" i="9"/>
  <c r="U46" i="6" s="1"/>
  <c r="R44" i="9"/>
  <c r="P46" i="6" s="1"/>
  <c r="L44" i="9"/>
  <c r="J46" i="6" s="1"/>
  <c r="AD44" i="9"/>
  <c r="AB46" i="6" s="1"/>
  <c r="K44" i="9"/>
  <c r="I46" i="6" s="1"/>
  <c r="AB44" i="9"/>
  <c r="Z46" i="6" s="1"/>
  <c r="P44" i="9"/>
  <c r="N46" i="6" s="1"/>
  <c r="H44" i="9"/>
  <c r="F46" i="6" s="1"/>
  <c r="E44" i="9"/>
  <c r="C46" i="6" s="1"/>
  <c r="V44" i="9"/>
  <c r="T46" i="6" s="1"/>
  <c r="O44" i="9"/>
  <c r="M46" i="6" s="1"/>
  <c r="G44" i="9"/>
  <c r="E46" i="6" s="1"/>
  <c r="D43" i="9"/>
  <c r="G33" i="3"/>
  <c r="D41" i="9"/>
  <c r="G31" i="3"/>
  <c r="D39" i="9"/>
  <c r="G29" i="3"/>
  <c r="D37" i="9"/>
  <c r="G27" i="3"/>
  <c r="D35" i="9"/>
  <c r="G25" i="3"/>
  <c r="D32" i="9"/>
  <c r="G22" i="3"/>
  <c r="D30" i="9"/>
  <c r="G20" i="3"/>
  <c r="D42" i="9"/>
  <c r="G32" i="3"/>
  <c r="D40" i="9"/>
  <c r="G30" i="3"/>
  <c r="D38" i="9"/>
  <c r="G28" i="3"/>
  <c r="D36" i="9"/>
  <c r="G26" i="3"/>
  <c r="D34" i="9"/>
  <c r="G24" i="3"/>
  <c r="D31" i="9"/>
  <c r="G21" i="3"/>
  <c r="D29" i="9"/>
  <c r="G19" i="3"/>
  <c r="AI29" i="9" l="1"/>
  <c r="AG31" i="6" s="1"/>
  <c r="AH29" i="9"/>
  <c r="AF31" i="6" s="1"/>
  <c r="AG29" i="9"/>
  <c r="AE31" i="6" s="1"/>
  <c r="AI31" i="9"/>
  <c r="AG33" i="6" s="1"/>
  <c r="AH31" i="9"/>
  <c r="AF33" i="6" s="1"/>
  <c r="AG31" i="9"/>
  <c r="AE33" i="6" s="1"/>
  <c r="AI34" i="9"/>
  <c r="AG36" i="6" s="1"/>
  <c r="AH34" i="9"/>
  <c r="AF36" i="6" s="1"/>
  <c r="AG34" i="9"/>
  <c r="AE36" i="6" s="1"/>
  <c r="AI36" i="9"/>
  <c r="AG38" i="6" s="1"/>
  <c r="AH36" i="9"/>
  <c r="AF38" i="6" s="1"/>
  <c r="AG36" i="9"/>
  <c r="AE38" i="6" s="1"/>
  <c r="AI38" i="9"/>
  <c r="AG40" i="6" s="1"/>
  <c r="AH38" i="9"/>
  <c r="AF40" i="6" s="1"/>
  <c r="AG38" i="9"/>
  <c r="AE40" i="6" s="1"/>
  <c r="AI40" i="9"/>
  <c r="AG42" i="6" s="1"/>
  <c r="AH40" i="9"/>
  <c r="AF42" i="6" s="1"/>
  <c r="AG40" i="9"/>
  <c r="AE42" i="6" s="1"/>
  <c r="AI42" i="9"/>
  <c r="AG44" i="6" s="1"/>
  <c r="AH42" i="9"/>
  <c r="AF44" i="6" s="1"/>
  <c r="AG42" i="9"/>
  <c r="AE44" i="6" s="1"/>
  <c r="AI30" i="9"/>
  <c r="AG32" i="6" s="1"/>
  <c r="AH30" i="9"/>
  <c r="AF32" i="6" s="1"/>
  <c r="AG30" i="9"/>
  <c r="AE32" i="6" s="1"/>
  <c r="AI32" i="9"/>
  <c r="AG34" i="6" s="1"/>
  <c r="AH32" i="9"/>
  <c r="AF34" i="6" s="1"/>
  <c r="AG32" i="9"/>
  <c r="AE34" i="6" s="1"/>
  <c r="AI35" i="9"/>
  <c r="AG37" i="6" s="1"/>
  <c r="AH35" i="9"/>
  <c r="AF37" i="6" s="1"/>
  <c r="AG35" i="9"/>
  <c r="AE37" i="6" s="1"/>
  <c r="AI37" i="9"/>
  <c r="AG39" i="6" s="1"/>
  <c r="AH37" i="9"/>
  <c r="AF39" i="6" s="1"/>
  <c r="AG37" i="9"/>
  <c r="AE39" i="6" s="1"/>
  <c r="AI39" i="9"/>
  <c r="AG41" i="6" s="1"/>
  <c r="AH39" i="9"/>
  <c r="AF41" i="6" s="1"/>
  <c r="AG39" i="9"/>
  <c r="AE41" i="6" s="1"/>
  <c r="AI41" i="9"/>
  <c r="AG43" i="6" s="1"/>
  <c r="AH41" i="9"/>
  <c r="AF43" i="6" s="1"/>
  <c r="AG41" i="9"/>
  <c r="AE43" i="6" s="1"/>
  <c r="AI43" i="9"/>
  <c r="AG45" i="6" s="1"/>
  <c r="AH43" i="9"/>
  <c r="AF45" i="6" s="1"/>
  <c r="AG43" i="9"/>
  <c r="AE45" i="6" s="1"/>
  <c r="E20" i="10"/>
  <c r="E22" i="14" s="1"/>
  <c r="O132" i="10"/>
  <c r="C20" i="10" s="1"/>
  <c r="D22" i="14" s="1"/>
  <c r="G22" i="14" s="1"/>
  <c r="M132" i="10"/>
  <c r="D20" i="10" s="1"/>
  <c r="AE30" i="6"/>
  <c r="AG46" i="9"/>
  <c r="AH46" i="9"/>
  <c r="AF30" i="6"/>
  <c r="AI46" i="9"/>
  <c r="AG30" i="6"/>
  <c r="T36" i="14"/>
  <c r="Q36" i="14"/>
  <c r="N36" i="14"/>
  <c r="S36" i="14"/>
  <c r="H36" i="14"/>
  <c r="U36" i="14"/>
  <c r="L36" i="14"/>
  <c r="I36" i="14"/>
  <c r="V36" i="14"/>
  <c r="P36" i="14"/>
  <c r="J36" i="14"/>
  <c r="R36" i="14"/>
  <c r="K36" i="14"/>
  <c r="M36" i="14"/>
  <c r="O36" i="14"/>
  <c r="F57" i="6"/>
  <c r="E85" i="10" s="1"/>
  <c r="G34" i="14"/>
  <c r="E30" i="6"/>
  <c r="Y30" i="6"/>
  <c r="H30" i="6"/>
  <c r="AF29" i="9"/>
  <c r="AD31" i="6" s="1"/>
  <c r="AB29" i="9"/>
  <c r="Z31" i="6" s="1"/>
  <c r="X29" i="9"/>
  <c r="V31" i="6" s="1"/>
  <c r="T29" i="9"/>
  <c r="R31" i="6" s="1"/>
  <c r="AE29" i="9"/>
  <c r="AC31" i="6" s="1"/>
  <c r="Y29" i="9"/>
  <c r="W31" i="6" s="1"/>
  <c r="S29" i="9"/>
  <c r="Q31" i="6" s="1"/>
  <c r="Q29" i="9"/>
  <c r="O31" i="6" s="1"/>
  <c r="M29" i="9"/>
  <c r="K31" i="6" s="1"/>
  <c r="I29" i="9"/>
  <c r="G31" i="6" s="1"/>
  <c r="E29" i="9"/>
  <c r="C31" i="6" s="1"/>
  <c r="R29" i="9"/>
  <c r="P31" i="6" s="1"/>
  <c r="P29" i="9"/>
  <c r="N31" i="6" s="1"/>
  <c r="L29" i="9"/>
  <c r="J31" i="6" s="1"/>
  <c r="H29" i="9"/>
  <c r="F31" i="6" s="1"/>
  <c r="AD29" i="9"/>
  <c r="AB31" i="6" s="1"/>
  <c r="AC29" i="9"/>
  <c r="AA31" i="6" s="1"/>
  <c r="W29" i="9"/>
  <c r="U31" i="6" s="1"/>
  <c r="Z29" i="9"/>
  <c r="X31" i="6" s="1"/>
  <c r="AA29" i="9"/>
  <c r="Y31" i="6" s="1"/>
  <c r="V29" i="9"/>
  <c r="T31" i="6" s="1"/>
  <c r="K29" i="9"/>
  <c r="I31" i="6" s="1"/>
  <c r="F29" i="9"/>
  <c r="D31" i="6" s="1"/>
  <c r="J29" i="9"/>
  <c r="H31" i="6" s="1"/>
  <c r="O29" i="9"/>
  <c r="M31" i="6" s="1"/>
  <c r="G29" i="9"/>
  <c r="E31" i="6" s="1"/>
  <c r="U29" i="9"/>
  <c r="S31" i="6" s="1"/>
  <c r="N29" i="9"/>
  <c r="L31" i="6" s="1"/>
  <c r="AE38" i="9"/>
  <c r="AC40" i="6" s="1"/>
  <c r="AA38" i="9"/>
  <c r="Y40" i="6" s="1"/>
  <c r="W38" i="9"/>
  <c r="U40" i="6" s="1"/>
  <c r="S38" i="9"/>
  <c r="Q40" i="6" s="1"/>
  <c r="AD38" i="9"/>
  <c r="AB40" i="6" s="1"/>
  <c r="AF38" i="9"/>
  <c r="AD40" i="6" s="1"/>
  <c r="Z38" i="9"/>
  <c r="X40" i="6" s="1"/>
  <c r="U38" i="9"/>
  <c r="S40" i="6" s="1"/>
  <c r="P38" i="9"/>
  <c r="N40" i="6" s="1"/>
  <c r="L38" i="9"/>
  <c r="J40" i="6" s="1"/>
  <c r="H38" i="9"/>
  <c r="F40" i="6" s="1"/>
  <c r="T38" i="9"/>
  <c r="R40" i="6" s="1"/>
  <c r="O38" i="9"/>
  <c r="M40" i="6" s="1"/>
  <c r="K38" i="9"/>
  <c r="I40" i="6" s="1"/>
  <c r="Y38" i="9"/>
  <c r="W40" i="6" s="1"/>
  <c r="G38" i="9"/>
  <c r="E40" i="6" s="1"/>
  <c r="AB38" i="9"/>
  <c r="Z40" i="6" s="1"/>
  <c r="AC38" i="9"/>
  <c r="AA40" i="6" s="1"/>
  <c r="X38" i="9"/>
  <c r="V40" i="6" s="1"/>
  <c r="J38" i="9"/>
  <c r="H40" i="6" s="1"/>
  <c r="V38" i="9"/>
  <c r="T40" i="6" s="1"/>
  <c r="Q38" i="9"/>
  <c r="O40" i="6" s="1"/>
  <c r="I38" i="9"/>
  <c r="G40" i="6" s="1"/>
  <c r="R38" i="9"/>
  <c r="P40" i="6" s="1"/>
  <c r="N38" i="9"/>
  <c r="L40" i="6" s="1"/>
  <c r="F38" i="9"/>
  <c r="D40" i="6" s="1"/>
  <c r="M38" i="9"/>
  <c r="K40" i="6" s="1"/>
  <c r="E38" i="9"/>
  <c r="C40" i="6" s="1"/>
  <c r="AC32" i="9"/>
  <c r="AA34" i="6" s="1"/>
  <c r="Y32" i="9"/>
  <c r="W34" i="6" s="1"/>
  <c r="U32" i="9"/>
  <c r="S34" i="6" s="1"/>
  <c r="AF32" i="9"/>
  <c r="AD34" i="6" s="1"/>
  <c r="AD32" i="9"/>
  <c r="AB34" i="6" s="1"/>
  <c r="AA32" i="9"/>
  <c r="Y34" i="6" s="1"/>
  <c r="V32" i="9"/>
  <c r="T34" i="6" s="1"/>
  <c r="N32" i="9"/>
  <c r="L34" i="6" s="1"/>
  <c r="J32" i="9"/>
  <c r="H34" i="6" s="1"/>
  <c r="F32" i="9"/>
  <c r="D34" i="6" s="1"/>
  <c r="T32" i="9"/>
  <c r="R34" i="6" s="1"/>
  <c r="Q32" i="9"/>
  <c r="O34" i="6" s="1"/>
  <c r="Z32" i="9"/>
  <c r="X34" i="6" s="1"/>
  <c r="M32" i="9"/>
  <c r="K34" i="6" s="1"/>
  <c r="I32" i="9"/>
  <c r="G34" i="6" s="1"/>
  <c r="AE32" i="9"/>
  <c r="AC34" i="6" s="1"/>
  <c r="AB32" i="9"/>
  <c r="Z34" i="6" s="1"/>
  <c r="P32" i="9"/>
  <c r="N34" i="6" s="1"/>
  <c r="H32" i="9"/>
  <c r="F34" i="6" s="1"/>
  <c r="W32" i="9"/>
  <c r="U34" i="6" s="1"/>
  <c r="R32" i="9"/>
  <c r="P34" i="6" s="1"/>
  <c r="O32" i="9"/>
  <c r="M34" i="6" s="1"/>
  <c r="G32" i="9"/>
  <c r="E34" i="6" s="1"/>
  <c r="X32" i="9"/>
  <c r="V34" i="6" s="1"/>
  <c r="S32" i="9"/>
  <c r="Q34" i="6" s="1"/>
  <c r="L32" i="9"/>
  <c r="J34" i="6" s="1"/>
  <c r="K32" i="9"/>
  <c r="I34" i="6" s="1"/>
  <c r="E32" i="9"/>
  <c r="C34" i="6" s="1"/>
  <c r="AF41" i="9"/>
  <c r="AD43" i="6" s="1"/>
  <c r="AB41" i="9"/>
  <c r="Z43" i="6" s="1"/>
  <c r="X41" i="9"/>
  <c r="V43" i="6" s="1"/>
  <c r="T41" i="9"/>
  <c r="R43" i="6" s="1"/>
  <c r="AE41" i="9"/>
  <c r="AC43" i="6" s="1"/>
  <c r="AC41" i="9"/>
  <c r="AA43" i="6" s="1"/>
  <c r="W41" i="9"/>
  <c r="U43" i="6" s="1"/>
  <c r="R41" i="9"/>
  <c r="P43" i="6" s="1"/>
  <c r="M41" i="9"/>
  <c r="K43" i="6" s="1"/>
  <c r="I41" i="9"/>
  <c r="G43" i="6" s="1"/>
  <c r="E41" i="9"/>
  <c r="C43" i="6" s="1"/>
  <c r="V41" i="9"/>
  <c r="T43" i="6" s="1"/>
  <c r="P41" i="9"/>
  <c r="N43" i="6" s="1"/>
  <c r="AA41" i="9"/>
  <c r="Y43" i="6" s="1"/>
  <c r="Q41" i="9"/>
  <c r="O43" i="6" s="1"/>
  <c r="L41" i="9"/>
  <c r="J43" i="6" s="1"/>
  <c r="H41" i="9"/>
  <c r="F43" i="6" s="1"/>
  <c r="AD41" i="9"/>
  <c r="AB43" i="6" s="1"/>
  <c r="O41" i="9"/>
  <c r="M43" i="6" s="1"/>
  <c r="G41" i="9"/>
  <c r="E43" i="6" s="1"/>
  <c r="Z41" i="9"/>
  <c r="X43" i="6" s="1"/>
  <c r="Y41" i="9"/>
  <c r="W43" i="6" s="1"/>
  <c r="N41" i="9"/>
  <c r="L43" i="6" s="1"/>
  <c r="F41" i="9"/>
  <c r="D43" i="6" s="1"/>
  <c r="U41" i="9"/>
  <c r="S43" i="6" s="1"/>
  <c r="K41" i="9"/>
  <c r="I43" i="6" s="1"/>
  <c r="S41" i="9"/>
  <c r="Q43" i="6" s="1"/>
  <c r="J41" i="9"/>
  <c r="H43" i="6" s="1"/>
  <c r="M30" i="6"/>
  <c r="T30" i="6"/>
  <c r="K30" i="6"/>
  <c r="L30" i="6"/>
  <c r="AB30" i="6"/>
  <c r="P30" i="6"/>
  <c r="Z30" i="6"/>
  <c r="V30" i="6"/>
  <c r="Q30" i="6"/>
  <c r="R30" i="6"/>
  <c r="W30" i="6"/>
  <c r="F30" i="6"/>
  <c r="I30" i="6"/>
  <c r="G30" i="6"/>
  <c r="AD30" i="6"/>
  <c r="AE34" i="9"/>
  <c r="AC36" i="6" s="1"/>
  <c r="AA34" i="9"/>
  <c r="Y36" i="6" s="1"/>
  <c r="W34" i="9"/>
  <c r="U36" i="6" s="1"/>
  <c r="S34" i="9"/>
  <c r="Q36" i="6" s="1"/>
  <c r="AD34" i="9"/>
  <c r="AB36" i="6" s="1"/>
  <c r="Y34" i="9"/>
  <c r="W36" i="6" s="1"/>
  <c r="T34" i="9"/>
  <c r="R36" i="6" s="1"/>
  <c r="P34" i="9"/>
  <c r="N36" i="6" s="1"/>
  <c r="L34" i="9"/>
  <c r="J36" i="6" s="1"/>
  <c r="H34" i="9"/>
  <c r="F36" i="6" s="1"/>
  <c r="O34" i="9"/>
  <c r="M36" i="6" s="1"/>
  <c r="K34" i="9"/>
  <c r="I36" i="6" s="1"/>
  <c r="G34" i="9"/>
  <c r="E36" i="6" s="1"/>
  <c r="AC34" i="9"/>
  <c r="AA36" i="6" s="1"/>
  <c r="X34" i="9"/>
  <c r="V36" i="6" s="1"/>
  <c r="R34" i="9"/>
  <c r="P36" i="6" s="1"/>
  <c r="Z34" i="9"/>
  <c r="X36" i="6" s="1"/>
  <c r="AB34" i="9"/>
  <c r="Z36" i="6" s="1"/>
  <c r="N34" i="9"/>
  <c r="L36" i="6" s="1"/>
  <c r="U34" i="9"/>
  <c r="S36" i="6" s="1"/>
  <c r="M34" i="9"/>
  <c r="K36" i="6" s="1"/>
  <c r="F34" i="9"/>
  <c r="D36" i="6" s="1"/>
  <c r="AF34" i="9"/>
  <c r="AD36" i="6" s="1"/>
  <c r="V34" i="9"/>
  <c r="T36" i="6" s="1"/>
  <c r="J34" i="9"/>
  <c r="H36" i="6" s="1"/>
  <c r="E34" i="9"/>
  <c r="C36" i="6" s="1"/>
  <c r="Q34" i="9"/>
  <c r="O36" i="6" s="1"/>
  <c r="I34" i="9"/>
  <c r="G36" i="6" s="1"/>
  <c r="AE42" i="9"/>
  <c r="AC44" i="6" s="1"/>
  <c r="AA42" i="9"/>
  <c r="Y44" i="6" s="1"/>
  <c r="W42" i="9"/>
  <c r="U44" i="6" s="1"/>
  <c r="S42" i="9"/>
  <c r="Q44" i="6" s="1"/>
  <c r="AD42" i="9"/>
  <c r="AB44" i="6" s="1"/>
  <c r="AB42" i="9"/>
  <c r="Z44" i="6" s="1"/>
  <c r="V42" i="9"/>
  <c r="T44" i="6" s="1"/>
  <c r="Q42" i="9"/>
  <c r="O44" i="6" s="1"/>
  <c r="P42" i="9"/>
  <c r="N44" i="6" s="1"/>
  <c r="L42" i="9"/>
  <c r="J44" i="6" s="1"/>
  <c r="H42" i="9"/>
  <c r="F44" i="6" s="1"/>
  <c r="G42" i="9"/>
  <c r="E44" i="6" s="1"/>
  <c r="Z42" i="9"/>
  <c r="X44" i="6" s="1"/>
  <c r="U42" i="9"/>
  <c r="S44" i="6" s="1"/>
  <c r="O42" i="9"/>
  <c r="M44" i="6" s="1"/>
  <c r="K42" i="9"/>
  <c r="I44" i="6" s="1"/>
  <c r="AC42" i="9"/>
  <c r="AA44" i="6" s="1"/>
  <c r="Y42" i="9"/>
  <c r="W44" i="6" s="1"/>
  <c r="T42" i="9"/>
  <c r="R44" i="6" s="1"/>
  <c r="N42" i="9"/>
  <c r="L44" i="6" s="1"/>
  <c r="F42" i="9"/>
  <c r="D44" i="6" s="1"/>
  <c r="E42" i="9"/>
  <c r="C44" i="6" s="1"/>
  <c r="AF42" i="9"/>
  <c r="AD44" i="6" s="1"/>
  <c r="R42" i="9"/>
  <c r="P44" i="6" s="1"/>
  <c r="M42" i="9"/>
  <c r="K44" i="6" s="1"/>
  <c r="J42" i="9"/>
  <c r="H44" i="6" s="1"/>
  <c r="X42" i="9"/>
  <c r="V44" i="6" s="1"/>
  <c r="I42" i="9"/>
  <c r="G44" i="6" s="1"/>
  <c r="AF37" i="9"/>
  <c r="AD39" i="6" s="1"/>
  <c r="AB37" i="9"/>
  <c r="Z39" i="6" s="1"/>
  <c r="X37" i="9"/>
  <c r="V39" i="6" s="1"/>
  <c r="T37" i="9"/>
  <c r="R39" i="6" s="1"/>
  <c r="AE37" i="9"/>
  <c r="AC39" i="6" s="1"/>
  <c r="AA37" i="9"/>
  <c r="Y39" i="6" s="1"/>
  <c r="V37" i="9"/>
  <c r="T39" i="6" s="1"/>
  <c r="Q37" i="9"/>
  <c r="O39" i="6" s="1"/>
  <c r="M37" i="9"/>
  <c r="K39" i="6" s="1"/>
  <c r="I37" i="9"/>
  <c r="G39" i="6" s="1"/>
  <c r="E37" i="9"/>
  <c r="C39" i="6" s="1"/>
  <c r="U37" i="9"/>
  <c r="S39" i="6" s="1"/>
  <c r="P37" i="9"/>
  <c r="N39" i="6" s="1"/>
  <c r="L37" i="9"/>
  <c r="J39" i="6" s="1"/>
  <c r="H37" i="9"/>
  <c r="F39" i="6" s="1"/>
  <c r="AD37" i="9"/>
  <c r="AB39" i="6" s="1"/>
  <c r="Z37" i="9"/>
  <c r="X39" i="6" s="1"/>
  <c r="AC37" i="9"/>
  <c r="AA39" i="6" s="1"/>
  <c r="S37" i="9"/>
  <c r="Q39" i="6" s="1"/>
  <c r="K37" i="9"/>
  <c r="I39" i="6" s="1"/>
  <c r="J37" i="9"/>
  <c r="H39" i="6" s="1"/>
  <c r="Y37" i="9"/>
  <c r="W39" i="6" s="1"/>
  <c r="O37" i="9"/>
  <c r="M39" i="6" s="1"/>
  <c r="G37" i="9"/>
  <c r="E39" i="6" s="1"/>
  <c r="W37" i="9"/>
  <c r="U39" i="6" s="1"/>
  <c r="R37" i="9"/>
  <c r="P39" i="6" s="1"/>
  <c r="N37" i="9"/>
  <c r="L39" i="6" s="1"/>
  <c r="F37" i="9"/>
  <c r="D39" i="6" s="1"/>
  <c r="N30" i="6"/>
  <c r="O30" i="6"/>
  <c r="S30" i="6"/>
  <c r="AD31" i="9"/>
  <c r="AB33" i="6" s="1"/>
  <c r="Z31" i="9"/>
  <c r="X33" i="6" s="1"/>
  <c r="V31" i="9"/>
  <c r="T33" i="6" s="1"/>
  <c r="R31" i="9"/>
  <c r="P33" i="6" s="1"/>
  <c r="AE31" i="9"/>
  <c r="AC33" i="6" s="1"/>
  <c r="AB31" i="9"/>
  <c r="Z33" i="6" s="1"/>
  <c r="W31" i="9"/>
  <c r="U33" i="6" s="1"/>
  <c r="O31" i="9"/>
  <c r="M33" i="6" s="1"/>
  <c r="K31" i="9"/>
  <c r="I33" i="6" s="1"/>
  <c r="G31" i="9"/>
  <c r="E33" i="6" s="1"/>
  <c r="U31" i="9"/>
  <c r="S33" i="6" s="1"/>
  <c r="N31" i="9"/>
  <c r="L33" i="6" s="1"/>
  <c r="J31" i="9"/>
  <c r="H33" i="6" s="1"/>
  <c r="AA31" i="9"/>
  <c r="Y33" i="6" s="1"/>
  <c r="AF31" i="9"/>
  <c r="AD33" i="6" s="1"/>
  <c r="AC31" i="9"/>
  <c r="AA33" i="6" s="1"/>
  <c r="Y31" i="9"/>
  <c r="W33" i="6" s="1"/>
  <c r="T31" i="9"/>
  <c r="R33" i="6" s="1"/>
  <c r="Q31" i="9"/>
  <c r="O33" i="6" s="1"/>
  <c r="I31" i="9"/>
  <c r="G33" i="6" s="1"/>
  <c r="E31" i="9"/>
  <c r="C33" i="6" s="1"/>
  <c r="P31" i="9"/>
  <c r="N33" i="6" s="1"/>
  <c r="H31" i="9"/>
  <c r="F33" i="6" s="1"/>
  <c r="M31" i="9"/>
  <c r="K33" i="6" s="1"/>
  <c r="X31" i="9"/>
  <c r="V33" i="6" s="1"/>
  <c r="S31" i="9"/>
  <c r="Q33" i="6" s="1"/>
  <c r="L31" i="9"/>
  <c r="J33" i="6" s="1"/>
  <c r="F31" i="9"/>
  <c r="D33" i="6" s="1"/>
  <c r="AC36" i="9"/>
  <c r="AA38" i="6" s="1"/>
  <c r="Y36" i="9"/>
  <c r="W38" i="6" s="1"/>
  <c r="U36" i="9"/>
  <c r="S38" i="6" s="1"/>
  <c r="AF36" i="9"/>
  <c r="AD38" i="6" s="1"/>
  <c r="AB36" i="9"/>
  <c r="Z38" i="6" s="1"/>
  <c r="W36" i="9"/>
  <c r="U38" i="6" s="1"/>
  <c r="R36" i="9"/>
  <c r="P38" i="6" s="1"/>
  <c r="N36" i="9"/>
  <c r="L38" i="6" s="1"/>
  <c r="J36" i="9"/>
  <c r="H38" i="6" s="1"/>
  <c r="F36" i="9"/>
  <c r="D38" i="6" s="1"/>
  <c r="AA36" i="9"/>
  <c r="Y38" i="6" s="1"/>
  <c r="Q36" i="9"/>
  <c r="O38" i="6" s="1"/>
  <c r="M36" i="9"/>
  <c r="K38" i="6" s="1"/>
  <c r="I36" i="9"/>
  <c r="G38" i="6" s="1"/>
  <c r="AE36" i="9"/>
  <c r="AC38" i="6" s="1"/>
  <c r="V36" i="9"/>
  <c r="T38" i="6" s="1"/>
  <c r="L36" i="9"/>
  <c r="J38" i="6" s="1"/>
  <c r="E36" i="9"/>
  <c r="C38" i="6" s="1"/>
  <c r="X36" i="9"/>
  <c r="V38" i="6" s="1"/>
  <c r="S36" i="9"/>
  <c r="Q38" i="6" s="1"/>
  <c r="K36" i="9"/>
  <c r="I38" i="6" s="1"/>
  <c r="AD36" i="9"/>
  <c r="AB38" i="6" s="1"/>
  <c r="Z36" i="9"/>
  <c r="X38" i="6" s="1"/>
  <c r="T36" i="9"/>
  <c r="R38" i="6" s="1"/>
  <c r="P36" i="9"/>
  <c r="N38" i="6" s="1"/>
  <c r="H36" i="9"/>
  <c r="F38" i="6" s="1"/>
  <c r="O36" i="9"/>
  <c r="M38" i="6" s="1"/>
  <c r="G36" i="9"/>
  <c r="E38" i="6" s="1"/>
  <c r="AC40" i="9"/>
  <c r="AA42" i="6" s="1"/>
  <c r="Y40" i="9"/>
  <c r="W42" i="6" s="1"/>
  <c r="U40" i="9"/>
  <c r="S42" i="6" s="1"/>
  <c r="Q40" i="9"/>
  <c r="O42" i="6" s="1"/>
  <c r="AF40" i="9"/>
  <c r="AD42" i="6" s="1"/>
  <c r="AD40" i="9"/>
  <c r="AB42" i="6" s="1"/>
  <c r="X40" i="9"/>
  <c r="V42" i="6" s="1"/>
  <c r="S40" i="9"/>
  <c r="Q42" i="6" s="1"/>
  <c r="N40" i="9"/>
  <c r="L42" i="6" s="1"/>
  <c r="J40" i="9"/>
  <c r="H42" i="6" s="1"/>
  <c r="F40" i="9"/>
  <c r="D42" i="6" s="1"/>
  <c r="W40" i="9"/>
  <c r="U42" i="6" s="1"/>
  <c r="R40" i="9"/>
  <c r="P42" i="6" s="1"/>
  <c r="M40" i="9"/>
  <c r="K42" i="6" s="1"/>
  <c r="I40" i="9"/>
  <c r="G42" i="6" s="1"/>
  <c r="AB40" i="9"/>
  <c r="Z42" i="6" s="1"/>
  <c r="AE40" i="9"/>
  <c r="AC42" i="6" s="1"/>
  <c r="Z40" i="9"/>
  <c r="X42" i="6" s="1"/>
  <c r="V40" i="9"/>
  <c r="T42" i="6" s="1"/>
  <c r="P40" i="9"/>
  <c r="N42" i="6" s="1"/>
  <c r="H40" i="9"/>
  <c r="F42" i="6" s="1"/>
  <c r="T40" i="9"/>
  <c r="R42" i="6" s="1"/>
  <c r="O40" i="9"/>
  <c r="M42" i="6" s="1"/>
  <c r="G40" i="9"/>
  <c r="E42" i="6" s="1"/>
  <c r="E40" i="9"/>
  <c r="C42" i="6" s="1"/>
  <c r="AA40" i="9"/>
  <c r="Y42" i="6" s="1"/>
  <c r="L40" i="9"/>
  <c r="J42" i="6" s="1"/>
  <c r="K40" i="9"/>
  <c r="I42" i="6" s="1"/>
  <c r="AE30" i="9"/>
  <c r="AC32" i="6" s="1"/>
  <c r="AA30" i="9"/>
  <c r="Y32" i="6" s="1"/>
  <c r="W30" i="9"/>
  <c r="U32" i="6" s="1"/>
  <c r="S30" i="9"/>
  <c r="Q32" i="6" s="1"/>
  <c r="AD30" i="9"/>
  <c r="AB32" i="6" s="1"/>
  <c r="AF30" i="9"/>
  <c r="AD32" i="6" s="1"/>
  <c r="AC30" i="9"/>
  <c r="AA32" i="6" s="1"/>
  <c r="X30" i="9"/>
  <c r="V32" i="6" s="1"/>
  <c r="R30" i="9"/>
  <c r="P32" i="6" s="1"/>
  <c r="P30" i="9"/>
  <c r="N32" i="6" s="1"/>
  <c r="L30" i="9"/>
  <c r="J32" i="6" s="1"/>
  <c r="H30" i="9"/>
  <c r="F32" i="6" s="1"/>
  <c r="V30" i="9"/>
  <c r="T32" i="6" s="1"/>
  <c r="G30" i="9"/>
  <c r="E32" i="6" s="1"/>
  <c r="AB30" i="9"/>
  <c r="Z32" i="6" s="1"/>
  <c r="O30" i="9"/>
  <c r="M32" i="6" s="1"/>
  <c r="K30" i="9"/>
  <c r="I32" i="6" s="1"/>
  <c r="J30" i="9"/>
  <c r="H32" i="6" s="1"/>
  <c r="F30" i="9"/>
  <c r="D32" i="6" s="1"/>
  <c r="Y30" i="9"/>
  <c r="W32" i="6" s="1"/>
  <c r="T30" i="9"/>
  <c r="R32" i="6" s="1"/>
  <c r="Q30" i="9"/>
  <c r="O32" i="6" s="1"/>
  <c r="I30" i="9"/>
  <c r="G32" i="6" s="1"/>
  <c r="E30" i="9"/>
  <c r="C32" i="6" s="1"/>
  <c r="U30" i="9"/>
  <c r="S32" i="6" s="1"/>
  <c r="N30" i="9"/>
  <c r="L32" i="6" s="1"/>
  <c r="Z30" i="9"/>
  <c r="X32" i="6" s="1"/>
  <c r="M30" i="9"/>
  <c r="K32" i="6" s="1"/>
  <c r="AD35" i="9"/>
  <c r="AB37" i="6" s="1"/>
  <c r="Z35" i="9"/>
  <c r="X37" i="6" s="1"/>
  <c r="V35" i="9"/>
  <c r="T37" i="6" s="1"/>
  <c r="R35" i="9"/>
  <c r="P37" i="6" s="1"/>
  <c r="AC35" i="9"/>
  <c r="AA37" i="6" s="1"/>
  <c r="X35" i="9"/>
  <c r="V37" i="6" s="1"/>
  <c r="S35" i="9"/>
  <c r="Q37" i="6" s="1"/>
  <c r="O35" i="9"/>
  <c r="M37" i="6" s="1"/>
  <c r="K35" i="9"/>
  <c r="I37" i="6" s="1"/>
  <c r="G35" i="9"/>
  <c r="E37" i="6" s="1"/>
  <c r="AF35" i="9"/>
  <c r="AD37" i="6" s="1"/>
  <c r="AB35" i="9"/>
  <c r="Z37" i="6" s="1"/>
  <c r="W35" i="9"/>
  <c r="U37" i="6" s="1"/>
  <c r="N35" i="9"/>
  <c r="L37" i="6" s="1"/>
  <c r="J35" i="9"/>
  <c r="H37" i="6" s="1"/>
  <c r="AE35" i="9"/>
  <c r="AC37" i="6" s="1"/>
  <c r="U35" i="9"/>
  <c r="S37" i="6" s="1"/>
  <c r="M35" i="9"/>
  <c r="K37" i="6" s="1"/>
  <c r="F35" i="9"/>
  <c r="D37" i="6" s="1"/>
  <c r="L35" i="9"/>
  <c r="J37" i="6" s="1"/>
  <c r="E35" i="9"/>
  <c r="C37" i="6" s="1"/>
  <c r="Q35" i="9"/>
  <c r="O37" i="6" s="1"/>
  <c r="I35" i="9"/>
  <c r="G37" i="6" s="1"/>
  <c r="AA35" i="9"/>
  <c r="Y37" i="6" s="1"/>
  <c r="Y35" i="9"/>
  <c r="W37" i="6" s="1"/>
  <c r="T35" i="9"/>
  <c r="R37" i="6" s="1"/>
  <c r="P35" i="9"/>
  <c r="N37" i="6" s="1"/>
  <c r="H35" i="9"/>
  <c r="F37" i="6" s="1"/>
  <c r="AD39" i="9"/>
  <c r="AB41" i="6" s="1"/>
  <c r="Z39" i="9"/>
  <c r="X41" i="6" s="1"/>
  <c r="V39" i="9"/>
  <c r="T41" i="6" s="1"/>
  <c r="R39" i="9"/>
  <c r="P41" i="6" s="1"/>
  <c r="AE39" i="9"/>
  <c r="AC41" i="6" s="1"/>
  <c r="Y39" i="9"/>
  <c r="W41" i="6" s="1"/>
  <c r="T39" i="9"/>
  <c r="R41" i="6" s="1"/>
  <c r="O39" i="9"/>
  <c r="M41" i="6" s="1"/>
  <c r="K39" i="9"/>
  <c r="I41" i="6" s="1"/>
  <c r="G39" i="9"/>
  <c r="E41" i="6" s="1"/>
  <c r="S39" i="9"/>
  <c r="Q41" i="6" s="1"/>
  <c r="N39" i="9"/>
  <c r="L41" i="6" s="1"/>
  <c r="J39" i="9"/>
  <c r="H41" i="6" s="1"/>
  <c r="F39" i="9"/>
  <c r="D41" i="6" s="1"/>
  <c r="AC39" i="9"/>
  <c r="AA41" i="6" s="1"/>
  <c r="X39" i="9"/>
  <c r="V41" i="6" s="1"/>
  <c r="AF39" i="9"/>
  <c r="AD41" i="6" s="1"/>
  <c r="AA39" i="9"/>
  <c r="Y41" i="6" s="1"/>
  <c r="Q39" i="9"/>
  <c r="O41" i="6" s="1"/>
  <c r="I39" i="9"/>
  <c r="G41" i="6" s="1"/>
  <c r="P39" i="9"/>
  <c r="N41" i="6" s="1"/>
  <c r="H39" i="9"/>
  <c r="F41" i="6" s="1"/>
  <c r="W39" i="9"/>
  <c r="U41" i="6" s="1"/>
  <c r="M39" i="9"/>
  <c r="K41" i="6" s="1"/>
  <c r="E39" i="9"/>
  <c r="C41" i="6" s="1"/>
  <c r="AB39" i="9"/>
  <c r="Z41" i="6" s="1"/>
  <c r="U39" i="9"/>
  <c r="S41" i="6" s="1"/>
  <c r="L39" i="9"/>
  <c r="J41" i="6" s="1"/>
  <c r="AD43" i="9"/>
  <c r="AB45" i="6" s="1"/>
  <c r="Z43" i="9"/>
  <c r="X45" i="6" s="1"/>
  <c r="V43" i="9"/>
  <c r="T45" i="6" s="1"/>
  <c r="R43" i="9"/>
  <c r="P45" i="6" s="1"/>
  <c r="AC43" i="9"/>
  <c r="AA45" i="6" s="1"/>
  <c r="AA43" i="9"/>
  <c r="Y45" i="6" s="1"/>
  <c r="U43" i="9"/>
  <c r="S45" i="6" s="1"/>
  <c r="O43" i="9"/>
  <c r="M45" i="6" s="1"/>
  <c r="K43" i="9"/>
  <c r="I45" i="6" s="1"/>
  <c r="G43" i="9"/>
  <c r="E45" i="6" s="1"/>
  <c r="N43" i="9"/>
  <c r="L45" i="6" s="1"/>
  <c r="J43" i="9"/>
  <c r="H45" i="6" s="1"/>
  <c r="AF43" i="9"/>
  <c r="AD45" i="6" s="1"/>
  <c r="Y43" i="9"/>
  <c r="W45" i="6" s="1"/>
  <c r="T43" i="9"/>
  <c r="R45" i="6" s="1"/>
  <c r="F43" i="9"/>
  <c r="D45" i="6" s="1"/>
  <c r="AB43" i="9"/>
  <c r="Z45" i="6" s="1"/>
  <c r="M43" i="9"/>
  <c r="K45" i="6" s="1"/>
  <c r="W43" i="9"/>
  <c r="U45" i="6" s="1"/>
  <c r="L43" i="9"/>
  <c r="J45" i="6" s="1"/>
  <c r="X43" i="9"/>
  <c r="V45" i="6" s="1"/>
  <c r="S43" i="9"/>
  <c r="Q45" i="6" s="1"/>
  <c r="I43" i="9"/>
  <c r="G45" i="6" s="1"/>
  <c r="AE43" i="9"/>
  <c r="AC45" i="6" s="1"/>
  <c r="Q43" i="9"/>
  <c r="O45" i="6" s="1"/>
  <c r="P43" i="9"/>
  <c r="N45" i="6" s="1"/>
  <c r="H43" i="9"/>
  <c r="F45" i="6" s="1"/>
  <c r="E43" i="9"/>
  <c r="C45" i="6" s="1"/>
  <c r="C30" i="6"/>
  <c r="U30" i="6"/>
  <c r="J30" i="6"/>
  <c r="AC30" i="6"/>
  <c r="D30" i="6"/>
  <c r="X30" i="6"/>
  <c r="AA30" i="6"/>
  <c r="D45" i="9"/>
  <c r="AI47" i="9" l="1"/>
  <c r="AG47" i="6" s="1"/>
  <c r="AH47" i="9"/>
  <c r="AF47" i="6" s="1"/>
  <c r="AG47" i="9"/>
  <c r="AE47" i="6" s="1"/>
  <c r="V39" i="14"/>
  <c r="V38" i="14"/>
  <c r="F58" i="6"/>
  <c r="E86" i="10" s="1"/>
  <c r="G13" i="14"/>
  <c r="W46" i="9"/>
  <c r="W47" i="9" s="1"/>
  <c r="U47" i="6" s="1"/>
  <c r="Z46" i="9"/>
  <c r="Z47" i="9" s="1"/>
  <c r="X47" i="6" s="1"/>
  <c r="AE46" i="9"/>
  <c r="AE47" i="9" s="1"/>
  <c r="AC47" i="6" s="1"/>
  <c r="AC46" i="9"/>
  <c r="AC47" i="9" s="1"/>
  <c r="AA47" i="6" s="1"/>
  <c r="F46" i="9"/>
  <c r="F47" i="9" s="1"/>
  <c r="D47" i="6" s="1"/>
  <c r="L46" i="9"/>
  <c r="L47" i="9" s="1"/>
  <c r="J47" i="6" s="1"/>
  <c r="E46" i="9"/>
  <c r="E47" i="9" s="1"/>
  <c r="C47" i="6" s="1"/>
  <c r="Q46" i="9"/>
  <c r="Q47" i="9" s="1"/>
  <c r="O47" i="6" s="1"/>
  <c r="AF46" i="9"/>
  <c r="AF47" i="9" s="1"/>
  <c r="AD47" i="6" s="1"/>
  <c r="K46" i="9"/>
  <c r="K47" i="9" s="1"/>
  <c r="I47" i="6" s="1"/>
  <c r="Y46" i="9"/>
  <c r="Y47" i="9" s="1"/>
  <c r="W47" i="6" s="1"/>
  <c r="S46" i="9"/>
  <c r="S47" i="9" s="1"/>
  <c r="Q47" i="6" s="1"/>
  <c r="AB46" i="9"/>
  <c r="AB47" i="9" s="1"/>
  <c r="Z47" i="6" s="1"/>
  <c r="AD46" i="9"/>
  <c r="AD47" i="9" s="1"/>
  <c r="AB47" i="6" s="1"/>
  <c r="M46" i="9"/>
  <c r="M47" i="9" s="1"/>
  <c r="K47" i="6" s="1"/>
  <c r="O46" i="9"/>
  <c r="O47" i="9" s="1"/>
  <c r="M47" i="6" s="1"/>
  <c r="AA46" i="9"/>
  <c r="AA47" i="9" s="1"/>
  <c r="Y47" i="6" s="1"/>
  <c r="U46" i="9"/>
  <c r="U47" i="9" s="1"/>
  <c r="S47" i="6" s="1"/>
  <c r="P46" i="9"/>
  <c r="P47" i="9" s="1"/>
  <c r="N47" i="6" s="1"/>
  <c r="I46" i="9"/>
  <c r="I47" i="9" s="1"/>
  <c r="G47" i="6" s="1"/>
  <c r="H46" i="9"/>
  <c r="H47" i="9" s="1"/>
  <c r="F47" i="6" s="1"/>
  <c r="T46" i="9"/>
  <c r="T47" i="9" s="1"/>
  <c r="R47" i="6" s="1"/>
  <c r="X46" i="9"/>
  <c r="X47" i="9" s="1"/>
  <c r="V47" i="6" s="1"/>
  <c r="R46" i="9"/>
  <c r="R47" i="9" s="1"/>
  <c r="P47" i="6" s="1"/>
  <c r="N46" i="9"/>
  <c r="N47" i="9" s="1"/>
  <c r="L47" i="6" s="1"/>
  <c r="V46" i="9"/>
  <c r="V47" i="9" s="1"/>
  <c r="T47" i="6" s="1"/>
  <c r="J46" i="9"/>
  <c r="J47" i="9" s="1"/>
  <c r="H47" i="6" s="1"/>
  <c r="G46" i="9"/>
  <c r="G47" i="9" s="1"/>
  <c r="E47" i="6" s="1"/>
  <c r="F59" i="6" l="1"/>
  <c r="E87" i="10" s="1"/>
  <c r="F60" i="6" l="1"/>
  <c r="E88" i="10" s="1"/>
  <c r="F61" i="6" l="1"/>
  <c r="E89" i="10" s="1"/>
  <c r="F62" i="6" l="1"/>
  <c r="E90" i="10" s="1"/>
  <c r="F63" i="6" l="1"/>
  <c r="E91" i="10" s="1"/>
  <c r="F64" i="6" l="1"/>
  <c r="E92" i="10" s="1"/>
  <c r="F65" i="6" l="1"/>
  <c r="E93" i="10" s="1"/>
  <c r="F66" i="6" l="1"/>
  <c r="E94" i="10" s="1"/>
  <c r="F67" i="6" l="1"/>
  <c r="E95" i="10" s="1"/>
  <c r="F68" i="6" l="1"/>
  <c r="E96" i="10" s="1"/>
  <c r="F69" i="6" l="1"/>
  <c r="E97" i="10" s="1"/>
  <c r="F70" i="6" l="1"/>
  <c r="E98" i="10" s="1"/>
  <c r="F71" i="6" l="1"/>
  <c r="E99" i="10" s="1"/>
  <c r="F72" i="6" l="1"/>
  <c r="E100" i="10" s="1"/>
  <c r="F73" i="6" l="1"/>
  <c r="E101" i="10" s="1"/>
  <c r="F74" i="6" l="1"/>
  <c r="E102" i="10" s="1"/>
  <c r="F75" i="6" l="1"/>
  <c r="E103" i="10" s="1"/>
  <c r="F76" i="6" l="1"/>
  <c r="E104" i="10" s="1"/>
  <c r="F77" i="6" l="1"/>
  <c r="E105" i="10" s="1"/>
  <c r="F78" i="6" l="1"/>
  <c r="E106" i="10" s="1"/>
  <c r="F79" i="6"/>
  <c r="F80" i="6" l="1"/>
  <c r="E107" i="10"/>
  <c r="F81" i="6" l="1"/>
  <c r="E109" i="10" s="1"/>
  <c r="E108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sourceFile="C:\Users\BSchlifer\Desktop\Primr_Update\PRIMRv3_test.accdb" keepAlive="1" name="Connection" type="5" refreshedVersion="4" background="1" saveData="1">
    <dbPr connection="Provider=Microsoft.ACE.OLEDB.12.0;User ID=Admin;Data Source=C:\Users\BSchlifer\Desktop\Primr_Update\PRIMRv3_test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tbl_SURVEYS" commandType="3"/>
  </connection>
</connections>
</file>

<file path=xl/sharedStrings.xml><?xml version="1.0" encoding="utf-8"?>
<sst xmlns="http://schemas.openxmlformats.org/spreadsheetml/2006/main" count="1299" uniqueCount="324">
  <si>
    <t>PRIMR Survey Prioritization Tool - Step 1 - Weighting the Prioritization Criteria</t>
  </si>
  <si>
    <t xml:space="preserve">This spreadsheet will help the staff to assign weights to each criterion. These weights are the importance the staff place on criteria. These must be evalutated </t>
  </si>
  <si>
    <t>prior to prioritizing the surveys that occur on the refuge. The ranks and ratings the staff assign will allow a weight to be calculated for each criterion.</t>
  </si>
  <si>
    <t>Instructions</t>
  </si>
  <si>
    <t xml:space="preserve">Fill in the yellow cells. </t>
  </si>
  <si>
    <t>Consider each criteria and put them in rank order of preferences. The most important criterion is rank 1. Tie ranks are not acceptable.</t>
  </si>
  <si>
    <t>Fill in the red cells.</t>
  </si>
  <si>
    <t>Give a rating of 100 to the best (rank 1) criterion and assign relative preference rating to the other criteria by comparing with the criteria ranked above it.</t>
  </si>
  <si>
    <t>Use the whole range of 1-100 ratings. Assign a 0 if the staff do not want to consider a criterion.</t>
  </si>
  <si>
    <t xml:space="preserve">Duplicate ratings are acceptable (i.e., if the staff thought they may have a tie rank, they could give it the same rating). </t>
  </si>
  <si>
    <t>Weights will be autocalculated in the green column.</t>
  </si>
  <si>
    <t>Evaluate the weight assigned to each criterion and re-rate if needed to adjust weights. Do not change the weights directly.</t>
  </si>
  <si>
    <t xml:space="preserve">The "Comparison to even weight" column will automatically calculate the difference between the weight assigned to each criterion and an even weighting of all criteria (i.e., 1/17). </t>
  </si>
  <si>
    <t>A negative value in this column means the criterion is weighted less than it would be if all criteria were weighted evenly and a positive value represents the opposite case.</t>
  </si>
  <si>
    <t>CRITERIA WEIGHTING MATRIX</t>
  </si>
  <si>
    <t>Comparison to</t>
  </si>
  <si>
    <t>Ranking Criteria</t>
  </si>
  <si>
    <t>Units</t>
  </si>
  <si>
    <t>Rank</t>
  </si>
  <si>
    <t>Rating</t>
  </si>
  <si>
    <t>Weights</t>
  </si>
  <si>
    <t>even weight</t>
  </si>
  <si>
    <t xml:space="preserve">Station purpose </t>
  </si>
  <si>
    <t>No/Yes (1-2)</t>
  </si>
  <si>
    <t>Other legal mandates</t>
  </si>
  <si>
    <t>Large investment in management actions</t>
  </si>
  <si>
    <t xml:space="preserve">Controversy </t>
  </si>
  <si>
    <t>Known or suspected threats</t>
  </si>
  <si>
    <t>scale 1-4</t>
  </si>
  <si>
    <t>Baseline data</t>
  </si>
  <si>
    <t>Species or vegetation community non-federal listing status</t>
  </si>
  <si>
    <t>FWS priorities</t>
  </si>
  <si>
    <t>Survey coverage for species or vegetation community</t>
  </si>
  <si>
    <t>Survey utility</t>
  </si>
  <si>
    <t>Survey leveraging</t>
  </si>
  <si>
    <t>scale 1-3</t>
  </si>
  <si>
    <t>FWS partners</t>
  </si>
  <si>
    <t>Survey spatial context</t>
  </si>
  <si>
    <t>Survey duration</t>
  </si>
  <si>
    <t>scale 1-2</t>
  </si>
  <si>
    <t>Cost of data collection, analysis, and reporting</t>
  </si>
  <si>
    <t>Data analysis</t>
  </si>
  <si>
    <t>Data use</t>
  </si>
  <si>
    <t>=even weight</t>
  </si>
  <si>
    <t>PRIMR Survey Prioritization Tool - Step 2 - Evaluating Surveys</t>
  </si>
  <si>
    <t xml:space="preserve">Fill in yellow columns with the evaluation for each survey. Each survey will be evaluated based on the description of what each score represents for each criterion. </t>
  </si>
  <si>
    <t xml:space="preserve">The highest score represents the "best possible" response for each criteria. </t>
  </si>
  <si>
    <t>SURVEY EVALUATION MATRIX</t>
  </si>
  <si>
    <t>Surveys</t>
  </si>
  <si>
    <t>Fish survey</t>
  </si>
  <si>
    <t>Waterfowl survey</t>
  </si>
  <si>
    <t>Marshbird Survey</t>
  </si>
  <si>
    <t>Fox Snake Survey</t>
  </si>
  <si>
    <t>Blanding's Turtle Survey</t>
  </si>
  <si>
    <t>Northern Flicker Survey</t>
  </si>
  <si>
    <t>Rusty Blackbird Survey</t>
  </si>
  <si>
    <t>American Woodcock Survey</t>
  </si>
  <si>
    <t>Shorebird Survey</t>
  </si>
  <si>
    <t>Treatment Evaluation of Phragmites, invasive cattail, reed canary grass</t>
  </si>
  <si>
    <t>Wetland Vegetation Cover Survey with annual summary of mean daily Lake Erie water level/water level management.</t>
  </si>
  <si>
    <t>Eastern Prairie Fringed Orchid</t>
  </si>
  <si>
    <t>Wet Prairie Monitoring</t>
  </si>
  <si>
    <t>Gibraltar Wetlands Forest Invasives Inventory</t>
  </si>
  <si>
    <t>Humbug Marsh Deer Browse Evaluation</t>
  </si>
  <si>
    <t xml:space="preserve">Phragmites Reduction: Comparison via remote-sensing of 2017 Imagery to 2009 Baseline </t>
  </si>
  <si>
    <t>Multi-agency water quality in the lower Detroit River and the western Lake Erie basin.</t>
  </si>
  <si>
    <t>Muskrat Monitoring</t>
  </si>
  <si>
    <t>Impoundment water levels</t>
  </si>
  <si>
    <t>Forest Ecological Inventory</t>
  </si>
  <si>
    <t>Bald Eagle Monitoring</t>
  </si>
  <si>
    <t>Coordinated Canvasback Survey</t>
  </si>
  <si>
    <t>Lower Great Lakes January Waterfowl Survey (as part of Mid-Winter Waterfowl Survey)</t>
  </si>
  <si>
    <t xml:space="preserve">Lake sturgeon </t>
  </si>
  <si>
    <t>HGM</t>
  </si>
  <si>
    <t>Grassy Island ground water monitoring</t>
  </si>
  <si>
    <t>NOAA lake level monitoring</t>
  </si>
  <si>
    <t>USGS stream gauge monitoring</t>
  </si>
  <si>
    <t>Aerial Deer Survey</t>
  </si>
  <si>
    <t>Detroit River Hawk Watch</t>
  </si>
  <si>
    <t>Common Tern Monitoring</t>
  </si>
  <si>
    <t>PRIMR Survey Prioritization Tool - Prioritization Output</t>
  </si>
  <si>
    <t>Figure 1. Final scores for surveys.</t>
  </si>
  <si>
    <t>Table 1. Normalized, weighted scores for each criteria and survey.</t>
  </si>
  <si>
    <t>Prioritization Criteria</t>
  </si>
  <si>
    <t xml:space="preserve">Survey  </t>
  </si>
  <si>
    <t>Final Score</t>
  </si>
  <si>
    <t>Table 2. Surveys prioritized by final score.</t>
  </si>
  <si>
    <t>Survey Priority</t>
  </si>
  <si>
    <t>Survey Name</t>
  </si>
  <si>
    <t>pt difference</t>
  </si>
  <si>
    <t>%  pt change</t>
  </si>
  <si>
    <t>class</t>
  </si>
  <si>
    <t>~</t>
  </si>
  <si>
    <t>PRIMR Survey Priortization Tool - Background Calculations</t>
  </si>
  <si>
    <t>Step 3 - Calculation of normalized scores for each survey. The formulas here reference the scores given on tab 2_evaluate_surveys</t>
  </si>
  <si>
    <t>NORMALIZED SCORES</t>
  </si>
  <si>
    <t>Goal</t>
  </si>
  <si>
    <t>Max</t>
  </si>
  <si>
    <t>Large investment management actions</t>
  </si>
  <si>
    <t>Baeline Data</t>
  </si>
  <si>
    <t xml:space="preserve">Step 4 - Calculation of normalized, weighted scores for each survey </t>
  </si>
  <si>
    <t>NORMALIZED AND WEIGHTED SCORES</t>
  </si>
  <si>
    <t>Weight</t>
  </si>
  <si>
    <t>Sum of weights for all criteria</t>
  </si>
  <si>
    <t>Sum of weighted scores for each survey</t>
  </si>
  <si>
    <t>Summary</t>
  </si>
  <si>
    <r>
      <t xml:space="preserve">Final Score for each survey </t>
    </r>
    <r>
      <rPr>
        <sz val="10"/>
        <rFont val="Arial"/>
        <family val="2"/>
      </rPr>
      <t>(sum of weighted scores/sum of weights)</t>
    </r>
  </si>
  <si>
    <t>Refuge Biologist Duty</t>
  </si>
  <si>
    <t>% of Time</t>
  </si>
  <si>
    <t>Average Hrs/yr.</t>
  </si>
  <si>
    <t>Wks</t>
  </si>
  <si>
    <t>Hrs/wk</t>
  </si>
  <si>
    <t>% time</t>
  </si>
  <si>
    <t>hours/year</t>
  </si>
  <si>
    <t>weeks</t>
  </si>
  <si>
    <t>Refuge surveillance</t>
  </si>
  <si>
    <t>Other duties</t>
  </si>
  <si>
    <t>Safety and other training</t>
  </si>
  <si>
    <t>Leave</t>
  </si>
  <si>
    <t>Planning</t>
  </si>
  <si>
    <t>Conservation delivery</t>
  </si>
  <si>
    <t>Monitoring</t>
  </si>
  <si>
    <t>Data management</t>
  </si>
  <si>
    <t>Analysis and summary</t>
  </si>
  <si>
    <t>WHRs</t>
  </si>
  <si>
    <t>External activities</t>
  </si>
  <si>
    <t>Research</t>
  </si>
  <si>
    <t>Supervision</t>
  </si>
  <si>
    <t>Professional development</t>
  </si>
  <si>
    <t>Fund raising</t>
  </si>
  <si>
    <t>based on Greg Norwood's time</t>
  </si>
  <si>
    <t>work year weeks</t>
  </si>
  <si>
    <t>Weeks for Biological surveys:</t>
  </si>
  <si>
    <t>Balance</t>
  </si>
  <si>
    <t>hrs</t>
  </si>
  <si>
    <t>Biotech weeks</t>
  </si>
  <si>
    <t>Annual Biologist Balance</t>
  </si>
  <si>
    <t>Biotech balance</t>
  </si>
  <si>
    <t>Position</t>
  </si>
  <si>
    <t>Cost per hr</t>
  </si>
  <si>
    <t>Cost per wk</t>
  </si>
  <si>
    <t>This example assumes that planning is conducted in yr 1.</t>
  </si>
  <si>
    <t>Biologist*</t>
  </si>
  <si>
    <t>Year 5 includes a final report or journal paper.</t>
  </si>
  <si>
    <t>Biotech</t>
  </si>
  <si>
    <t>Note: names change on final row of each survey to standardize with other tabs</t>
  </si>
  <si>
    <t>Statistician</t>
  </si>
  <si>
    <t>#</t>
  </si>
  <si>
    <t>Survey</t>
  </si>
  <si>
    <t>Phase</t>
  </si>
  <si>
    <t>Dates</t>
  </si>
  <si>
    <t>FWS BIO weeks</t>
  </si>
  <si>
    <t xml:space="preserve"> Temp weeks</t>
  </si>
  <si>
    <t>Equipment, Operations</t>
  </si>
  <si>
    <t>Year 1 cost</t>
  </si>
  <si>
    <t>Cost Year 2</t>
  </si>
  <si>
    <t>Cost Year 3</t>
  </si>
  <si>
    <t>Cost Year 4</t>
  </si>
  <si>
    <t>Cost Year 5</t>
  </si>
  <si>
    <t>Design</t>
  </si>
  <si>
    <t>January</t>
  </si>
  <si>
    <t>Hiring</t>
  </si>
  <si>
    <t>Data Collection</t>
  </si>
  <si>
    <t>June-July</t>
  </si>
  <si>
    <t>expenses</t>
  </si>
  <si>
    <t>Data Management</t>
  </si>
  <si>
    <t>Aug-Nov</t>
  </si>
  <si>
    <t>Data Analysis</t>
  </si>
  <si>
    <t>December</t>
  </si>
  <si>
    <t>Reporting</t>
  </si>
  <si>
    <t>Jan-March</t>
  </si>
  <si>
    <t>Total</t>
  </si>
  <si>
    <t xml:space="preserve"> </t>
  </si>
  <si>
    <t>marshbird</t>
  </si>
  <si>
    <t>late May-Jul 1</t>
  </si>
  <si>
    <t>Jul-Sept</t>
  </si>
  <si>
    <t>Oct-December</t>
  </si>
  <si>
    <t>fox snake</t>
  </si>
  <si>
    <t>May-Sept.</t>
  </si>
  <si>
    <t>Oct-November</t>
  </si>
  <si>
    <t>Dec-Feb</t>
  </si>
  <si>
    <t>Feb-April</t>
  </si>
  <si>
    <t>Blanding's Turtle</t>
  </si>
  <si>
    <t>Feb-March</t>
  </si>
  <si>
    <t>May-Aug</t>
  </si>
  <si>
    <t>Northern Flicker</t>
  </si>
  <si>
    <t>April-July 15</t>
  </si>
  <si>
    <t>Aug-Sept</t>
  </si>
  <si>
    <t>Rusty Blackbird</t>
  </si>
  <si>
    <t>Feb 20-April 15
Oct. 1-Nov. 30</t>
  </si>
  <si>
    <t>February</t>
  </si>
  <si>
    <t>American Woodcock</t>
  </si>
  <si>
    <t>March-May</t>
  </si>
  <si>
    <t>June-Sept</t>
  </si>
  <si>
    <t>Sept-Nov</t>
  </si>
  <si>
    <t>Nov-Feb</t>
  </si>
  <si>
    <t>Shorebirds</t>
  </si>
  <si>
    <t>April-June 10
July 25-Nov. 15</t>
  </si>
  <si>
    <t>Treatment of Phrag</t>
  </si>
  <si>
    <t>Wetland Vegetation</t>
  </si>
  <si>
    <t>Constructed Wet Prairie</t>
  </si>
  <si>
    <t>Phragmites Reduction</t>
  </si>
  <si>
    <t>Waterfowl</t>
  </si>
  <si>
    <t>March 1-May 15</t>
  </si>
  <si>
    <t>Sept. 1-Dec. 15</t>
  </si>
  <si>
    <t>muskrat monitoring</t>
  </si>
  <si>
    <t>forest ecological inventory</t>
  </si>
  <si>
    <t>November</t>
  </si>
  <si>
    <t>May</t>
  </si>
  <si>
    <t>Sept-Nov.</t>
  </si>
  <si>
    <t>April-July</t>
  </si>
  <si>
    <t>October</t>
  </si>
  <si>
    <t>Survey Lead</t>
  </si>
  <si>
    <t>15-yr time</t>
  </si>
  <si>
    <t>15-yr cost</t>
  </si>
  <si>
    <t>15-yr frequency</t>
  </si>
  <si>
    <t>Priority Score (benefit)</t>
  </si>
  <si>
    <t>Priorty Class</t>
  </si>
  <si>
    <t>Priority Rank</t>
  </si>
  <si>
    <t>Refuge Biologist</t>
  </si>
  <si>
    <t>East Lansing Field Office</t>
  </si>
  <si>
    <t>Jennifer Olson, 
Barb Avers</t>
  </si>
  <si>
    <t>Alpena office - Jim Boase</t>
  </si>
  <si>
    <t>Josh Eash</t>
  </si>
  <si>
    <t>Shannon Badzinski, 
Joe Robison</t>
  </si>
  <si>
    <t>Refuge Biologist, MNFI</t>
  </si>
  <si>
    <t>?</t>
  </si>
  <si>
    <t>Refuge Biologist 
and collaborators</t>
  </si>
  <si>
    <t>Refuge Biologist, MDNR</t>
  </si>
  <si>
    <t>DO NOT SORT OR MANIPULATE THE DATA ON THIS WORKSHEET</t>
  </si>
  <si>
    <t>LINKS TO SOURCE DATA (below)</t>
  </si>
  <si>
    <t>Sorted output from prioritization output tab - not linked</t>
  </si>
  <si>
    <t>Live link to prioritization output tab</t>
  </si>
  <si>
    <t>Live link to survey time tab</t>
  </si>
  <si>
    <t>15-yr Cost</t>
  </si>
  <si>
    <t>Efficient portfolio analysis</t>
  </si>
  <si>
    <t>opt</t>
  </si>
  <si>
    <t>Final Selection</t>
  </si>
  <si>
    <t>Top of priority list (filled in sequence from top of list until out of time)</t>
  </si>
  <si>
    <t>ES request (5)</t>
  </si>
  <si>
    <t>Mig Birds requests (1,15,23)</t>
  </si>
  <si>
    <t>Water Resources requests (10,13,19,25)</t>
  </si>
  <si>
    <t>Inventory focused (11,13,21)</t>
  </si>
  <si>
    <t>Constrained only by time</t>
  </si>
  <si>
    <t>Detroit River Staff Portfolio 1</t>
  </si>
  <si>
    <t>Detroit River Staff Portfolio 2</t>
  </si>
  <si>
    <t>Detroit River Staff Portfolio 3</t>
  </si>
  <si>
    <t>Detroit River Staff Portfolio 4</t>
  </si>
  <si>
    <t>Detroit River Staff Portfolio 5</t>
  </si>
  <si>
    <t>Detroit River Staff Portfolio 6</t>
  </si>
  <si>
    <t>All requests (1,5,10,13,19,21,23,25)</t>
  </si>
  <si>
    <t>Detroit River Staff Portfolio 7</t>
  </si>
  <si>
    <t>Detroit River Staff Selection Apr 2015</t>
  </si>
  <si>
    <t>Survey Status</t>
  </si>
  <si>
    <t>Survey #</t>
  </si>
  <si>
    <t>Benefit</t>
  </si>
  <si>
    <t>Freq.</t>
  </si>
  <si>
    <t>Priority</t>
  </si>
  <si>
    <t>c/b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</si>
  <si>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</si>
  <si>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</si>
  <si>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</si>
  <si>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</si>
  <si>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</si>
  <si>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</si>
  <si>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</si>
  <si>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</si>
  <si>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</si>
  <si>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</si>
  <si>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</si>
  <si>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</si>
  <si>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</si>
  <si>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</si>
  <si>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</si>
  <si>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Current</t>
  </si>
  <si>
    <t>Expected</t>
  </si>
  <si>
    <t>Total Benefit</t>
  </si>
  <si>
    <t>15 year cost</t>
  </si>
  <si>
    <t>Total # Surveys</t>
  </si>
  <si>
    <t>Greg's total time</t>
  </si>
  <si>
    <t>% over allocated</t>
  </si>
  <si>
    <t>weeks over allocated</t>
  </si>
  <si>
    <t>Final set of selected and future surveys</t>
  </si>
  <si>
    <t>Final Staff Selection</t>
  </si>
  <si>
    <t>Final Priority (for PRIMR)</t>
  </si>
  <si>
    <t>Future</t>
  </si>
  <si>
    <t>Srvy_ID</t>
  </si>
  <si>
    <t>SID</t>
  </si>
  <si>
    <t>SEQ_ID</t>
  </si>
  <si>
    <t>OrgCode</t>
  </si>
  <si>
    <t>Station</t>
  </si>
  <si>
    <t>Srvy_Name</t>
  </si>
  <si>
    <t>Status</t>
  </si>
  <si>
    <t>Type</t>
  </si>
  <si>
    <t>Start_YR</t>
  </si>
  <si>
    <t>End_YR</t>
  </si>
  <si>
    <t>ActiveYRS</t>
  </si>
  <si>
    <t>Approved</t>
  </si>
  <si>
    <t>Justify</t>
  </si>
  <si>
    <t>Timing</t>
  </si>
  <si>
    <t>Frequency</t>
  </si>
  <si>
    <t>GeoExtent</t>
  </si>
  <si>
    <t>Protocol</t>
  </si>
  <si>
    <t>PrtCite</t>
  </si>
  <si>
    <t>Analysis</t>
  </si>
  <si>
    <t>Lead_Org</t>
  </si>
  <si>
    <t>Partners</t>
  </si>
  <si>
    <t>DataFormat</t>
  </si>
  <si>
    <t>DataPub</t>
  </si>
  <si>
    <t>S_Obj</t>
  </si>
  <si>
    <t>PubCite</t>
  </si>
  <si>
    <t>TEspp</t>
  </si>
  <si>
    <t>Population</t>
  </si>
  <si>
    <t>AnalCon</t>
  </si>
  <si>
    <t>Management</t>
  </si>
  <si>
    <t>CiteTier</t>
  </si>
  <si>
    <t>Reports</t>
  </si>
  <si>
    <t>Q_Obj</t>
  </si>
  <si>
    <t>Methods</t>
  </si>
  <si>
    <t>MgmtUnits</t>
  </si>
  <si>
    <t>Lead_Name</t>
  </si>
  <si>
    <t>DataAvail</t>
  </si>
  <si>
    <t>DataCon</t>
  </si>
  <si>
    <t>Comments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</si>
</sst>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(&quot;$&quot;* #,##0.00_);_(&quot;$&quot;* \(#,##0.00\);_(&quot;$&quot;* &quot;-&quot;??_);_(@_)"/>
    <numFmt numFmtId="164" formatCode="#,##0.000"/>
    <numFmt numFmtId="165" formatCode="0.000"/>
    <numFmt numFmtId="166" formatCode="0.0000"/>
    <numFmt numFmtId="167" formatCode="#,##0.0000"/>
    <numFmt numFmtId="168" formatCode="0.0"/>
    <numFmt numFmtId="169" formatCode="&quot;$&quot;#,##0"/>
    <numFmt numFmtId="170" formatCode="#,##0.0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sz val="10"/>
      <color theme="3"/>
      <name val="Arial"/>
      <family val="2"/>
    </font>
    <font>
      <sz val="10"/>
      <color theme="0" tint="-0.499984740745262"/>
      <name val="Arial"/>
      <family val="2"/>
    </font>
    <font>
      <b/>
      <sz val="10"/>
      <color theme="3"/>
      <name val="Arial"/>
      <family val="2"/>
    </font>
    <font>
      <sz val="10"/>
      <color theme="3" tint="-0.24997711111789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5" fillId="0" borderId="0"/>
    <xf numFmtId="44" fontId="3" fillId="0" borderId="0" applyFont="0" applyFill="0" applyBorder="0" applyAlignment="0" applyProtection="0"/>
    <xf numFmtId="0" fontId="3" fillId="0" borderId="0"/>
    <xf numFmtId="0" fontId="2" fillId="0" borderId="0"/>
  </cellStyleXfs>
  <cellXfs count="363">
    <xf numFmtId="0" fontId="0" fillId="0" borderId="0" xfId="0"/>
    <xf numFmtId="0" fontId="0" fillId="0" borderId="0" xfId="0" applyFill="1" applyBorder="1"/>
    <xf numFmtId="0" fontId="0" fillId="0" borderId="0" xfId="0" applyAlignment="1">
      <alignment horizontal="center"/>
    </xf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5" fillId="0" borderId="0" xfId="0" applyFont="1" applyFill="1" applyAlignment="1">
      <alignment vertical="center"/>
    </xf>
    <xf numFmtId="0" fontId="0" fillId="5" borderId="0" xfId="0" applyFill="1"/>
    <xf numFmtId="0" fontId="4" fillId="5" borderId="0" xfId="0" applyFont="1" applyFill="1" applyBorder="1" applyAlignment="1">
      <alignment vertical="center"/>
    </xf>
    <xf numFmtId="0" fontId="5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/>
    <xf numFmtId="0" fontId="0" fillId="5" borderId="0" xfId="0" applyFill="1" applyAlignment="1">
      <alignment horizontal="center"/>
    </xf>
    <xf numFmtId="0" fontId="5" fillId="0" borderId="0" xfId="0" applyFont="1" applyFill="1" applyAlignment="1">
      <alignment horizontal="left" vertical="center"/>
    </xf>
    <xf numFmtId="0" fontId="5" fillId="0" borderId="0" xfId="0" applyFont="1" applyFill="1" applyBorder="1"/>
    <xf numFmtId="0" fontId="4" fillId="0" borderId="0" xfId="0" applyFont="1" applyFill="1" applyBorder="1" applyAlignment="1">
      <alignment horizontal="center" vertical="center"/>
    </xf>
    <xf numFmtId="0" fontId="7" fillId="0" borderId="2" xfId="0" applyFont="1" applyBorder="1"/>
    <xf numFmtId="0" fontId="0" fillId="0" borderId="6" xfId="0" applyBorder="1"/>
    <xf numFmtId="0" fontId="0" fillId="0" borderId="7" xfId="0" applyBorder="1"/>
    <xf numFmtId="0" fontId="0" fillId="0" borderId="11" xfId="0" applyBorder="1"/>
    <xf numFmtId="0" fontId="9" fillId="0" borderId="2" xfId="0" applyFont="1" applyBorder="1"/>
    <xf numFmtId="0" fontId="4" fillId="0" borderId="0" xfId="0" applyFont="1" applyFill="1" applyBorder="1" applyAlignment="1"/>
    <xf numFmtId="0" fontId="5" fillId="0" borderId="6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vertical="center"/>
    </xf>
    <xf numFmtId="3" fontId="5" fillId="0" borderId="0" xfId="0" applyNumberFormat="1" applyFont="1" applyFill="1" applyBorder="1" applyAlignment="1">
      <alignment horizontal="center" vertical="center"/>
    </xf>
    <xf numFmtId="165" fontId="8" fillId="0" borderId="0" xfId="0" applyNumberFormat="1" applyFont="1" applyFill="1" applyBorder="1" applyAlignment="1">
      <alignment horizontal="center"/>
    </xf>
    <xf numFmtId="0" fontId="8" fillId="0" borderId="0" xfId="0" applyFont="1" applyFill="1"/>
    <xf numFmtId="0" fontId="0" fillId="0" borderId="0" xfId="0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/>
    <xf numFmtId="0" fontId="7" fillId="6" borderId="1" xfId="0" applyFont="1" applyFill="1" applyBorder="1"/>
    <xf numFmtId="0" fontId="0" fillId="6" borderId="0" xfId="0" applyFill="1" applyBorder="1"/>
    <xf numFmtId="0" fontId="0" fillId="6" borderId="11" xfId="0" applyFill="1" applyBorder="1"/>
    <xf numFmtId="0" fontId="7" fillId="8" borderId="1" xfId="0" applyFont="1" applyFill="1" applyBorder="1"/>
    <xf numFmtId="0" fontId="0" fillId="8" borderId="0" xfId="0" applyFill="1"/>
    <xf numFmtId="0" fontId="0" fillId="8" borderId="11" xfId="0" applyFill="1" applyBorder="1"/>
    <xf numFmtId="0" fontId="0" fillId="8" borderId="0" xfId="0" applyFill="1" applyBorder="1"/>
    <xf numFmtId="0" fontId="10" fillId="8" borderId="0" xfId="0" applyFont="1" applyFill="1"/>
    <xf numFmtId="0" fontId="7" fillId="6" borderId="5" xfId="0" applyFont="1" applyFill="1" applyBorder="1" applyAlignment="1">
      <alignment vertical="center"/>
    </xf>
    <xf numFmtId="0" fontId="0" fillId="6" borderId="8" xfId="0" applyFill="1" applyBorder="1" applyAlignment="1">
      <alignment horizontal="center" vertical="center"/>
    </xf>
    <xf numFmtId="0" fontId="0" fillId="6" borderId="8" xfId="0" applyFill="1" applyBorder="1" applyAlignment="1">
      <alignment vertical="center"/>
    </xf>
    <xf numFmtId="0" fontId="4" fillId="6" borderId="0" xfId="0" applyFont="1" applyFill="1" applyBorder="1" applyAlignment="1">
      <alignment vertical="center"/>
    </xf>
    <xf numFmtId="0" fontId="5" fillId="6" borderId="0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6" borderId="0" xfId="0" applyFill="1"/>
    <xf numFmtId="0" fontId="4" fillId="0" borderId="6" xfId="0" applyFont="1" applyFill="1" applyBorder="1" applyAlignment="1"/>
    <xf numFmtId="0" fontId="0" fillId="0" borderId="7" xfId="0" applyFill="1" applyBorder="1" applyAlignment="1">
      <alignment horizontal="center"/>
    </xf>
    <xf numFmtId="0" fontId="0" fillId="6" borderId="8" xfId="0" applyFill="1" applyBorder="1"/>
    <xf numFmtId="0" fontId="0" fillId="6" borderId="12" xfId="0" applyFill="1" applyBorder="1" applyAlignment="1">
      <alignment horizontal="center"/>
    </xf>
    <xf numFmtId="0" fontId="0" fillId="0" borderId="9" xfId="0" applyBorder="1"/>
    <xf numFmtId="165" fontId="4" fillId="0" borderId="9" xfId="0" applyNumberFormat="1" applyFont="1" applyFill="1" applyBorder="1" applyAlignment="1">
      <alignment horizontal="center" vertical="center"/>
    </xf>
    <xf numFmtId="0" fontId="5" fillId="5" borderId="0" xfId="0" applyFont="1" applyFill="1"/>
    <xf numFmtId="0" fontId="5" fillId="5" borderId="0" xfId="0" applyFont="1" applyFill="1" applyBorder="1" applyAlignment="1"/>
    <xf numFmtId="0" fontId="5" fillId="5" borderId="0" xfId="0" applyFont="1" applyFill="1" applyAlignment="1">
      <alignment horizontal="center"/>
    </xf>
    <xf numFmtId="0" fontId="4" fillId="6" borderId="0" xfId="0" applyFont="1" applyFill="1" applyBorder="1" applyAlignment="1"/>
    <xf numFmtId="0" fontId="0" fillId="6" borderId="11" xfId="0" applyFill="1" applyBorder="1" applyAlignment="1">
      <alignment horizontal="center"/>
    </xf>
    <xf numFmtId="0" fontId="5" fillId="6" borderId="0" xfId="0" applyFont="1" applyFill="1"/>
    <xf numFmtId="0" fontId="0" fillId="0" borderId="23" xfId="0" applyBorder="1" applyAlignment="1">
      <alignment vertical="center"/>
    </xf>
    <xf numFmtId="0" fontId="4" fillId="0" borderId="9" xfId="0" applyFont="1" applyFill="1" applyBorder="1" applyAlignment="1">
      <alignment vertical="center"/>
    </xf>
    <xf numFmtId="0" fontId="9" fillId="0" borderId="2" xfId="0" applyFont="1" applyFill="1" applyBorder="1"/>
    <xf numFmtId="3" fontId="5" fillId="6" borderId="3" xfId="0" applyNumberFormat="1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7" fillId="0" borderId="1" xfId="0" applyFont="1" applyBorder="1"/>
    <xf numFmtId="0" fontId="0" fillId="0" borderId="0" xfId="0"/>
    <xf numFmtId="0" fontId="0" fillId="0" borderId="0" xfId="0" applyBorder="1"/>
    <xf numFmtId="0" fontId="0" fillId="0" borderId="0" xfId="0"/>
    <xf numFmtId="0" fontId="0" fillId="5" borderId="0" xfId="0" applyFill="1"/>
    <xf numFmtId="0" fontId="7" fillId="0" borderId="6" xfId="0" applyFont="1" applyBorder="1"/>
    <xf numFmtId="0" fontId="7" fillId="0" borderId="0" xfId="0" applyFont="1" applyBorder="1"/>
    <xf numFmtId="0" fontId="7" fillId="6" borderId="0" xfId="0" applyFont="1" applyFill="1" applyBorder="1"/>
    <xf numFmtId="0" fontId="7" fillId="8" borderId="0" xfId="0" applyFont="1" applyFill="1" applyBorder="1"/>
    <xf numFmtId="0" fontId="7" fillId="7" borderId="1" xfId="0" applyFont="1" applyFill="1" applyBorder="1"/>
    <xf numFmtId="0" fontId="7" fillId="7" borderId="0" xfId="0" applyFont="1" applyFill="1" applyBorder="1"/>
    <xf numFmtId="0" fontId="7" fillId="7" borderId="11" xfId="0" applyFont="1" applyFill="1" applyBorder="1"/>
    <xf numFmtId="0" fontId="7" fillId="7" borderId="5" xfId="0" applyFont="1" applyFill="1" applyBorder="1"/>
    <xf numFmtId="0" fontId="7" fillId="7" borderId="8" xfId="0" applyFont="1" applyFill="1" applyBorder="1"/>
    <xf numFmtId="0" fontId="7" fillId="7" borderId="12" xfId="0" applyFont="1" applyFill="1" applyBorder="1"/>
    <xf numFmtId="0" fontId="5" fillId="6" borderId="3" xfId="1" applyFont="1" applyFill="1" applyBorder="1" applyAlignment="1">
      <alignment horizontal="center"/>
    </xf>
    <xf numFmtId="0" fontId="5" fillId="8" borderId="3" xfId="1" applyFont="1" applyFill="1" applyBorder="1" applyAlignment="1">
      <alignment horizontal="center"/>
    </xf>
    <xf numFmtId="0" fontId="4" fillId="8" borderId="3" xfId="1" applyFont="1" applyFill="1" applyBorder="1" applyAlignment="1">
      <alignment horizontal="center" vertical="center"/>
    </xf>
    <xf numFmtId="0" fontId="4" fillId="6" borderId="3" xfId="1" applyFont="1" applyFill="1" applyBorder="1" applyAlignment="1">
      <alignment horizontal="center" vertical="center"/>
    </xf>
    <xf numFmtId="0" fontId="4" fillId="6" borderId="26" xfId="1" applyFont="1" applyFill="1" applyBorder="1" applyAlignment="1">
      <alignment horizontal="center" vertical="center"/>
    </xf>
    <xf numFmtId="0" fontId="4" fillId="8" borderId="26" xfId="1" applyFont="1" applyFill="1" applyBorder="1" applyAlignment="1">
      <alignment horizontal="center" vertical="center"/>
    </xf>
    <xf numFmtId="0" fontId="4" fillId="7" borderId="24" xfId="1" applyFont="1" applyFill="1" applyBorder="1" applyAlignment="1">
      <alignment horizontal="center"/>
    </xf>
    <xf numFmtId="0" fontId="4" fillId="7" borderId="18" xfId="1" applyFont="1" applyFill="1" applyBorder="1" applyAlignment="1">
      <alignment horizontal="center"/>
    </xf>
    <xf numFmtId="0" fontId="5" fillId="9" borderId="17" xfId="1" applyFont="1" applyFill="1" applyBorder="1"/>
    <xf numFmtId="0" fontId="5" fillId="9" borderId="19" xfId="1" applyFont="1" applyFill="1" applyBorder="1"/>
    <xf numFmtId="0" fontId="5" fillId="6" borderId="20" xfId="1" applyFont="1" applyFill="1" applyBorder="1" applyAlignment="1">
      <alignment horizontal="center"/>
    </xf>
    <xf numFmtId="0" fontId="5" fillId="8" borderId="20" xfId="1" applyFont="1" applyFill="1" applyBorder="1" applyAlignment="1">
      <alignment horizontal="center"/>
    </xf>
    <xf numFmtId="0" fontId="5" fillId="0" borderId="3" xfId="1" applyFont="1" applyFill="1" applyBorder="1"/>
    <xf numFmtId="0" fontId="0" fillId="9" borderId="27" xfId="0" applyFill="1" applyBorder="1"/>
    <xf numFmtId="0" fontId="5" fillId="0" borderId="4" xfId="1" applyFont="1" applyFill="1" applyBorder="1"/>
    <xf numFmtId="0" fontId="5" fillId="0" borderId="28" xfId="1" applyFont="1" applyFill="1" applyBorder="1"/>
    <xf numFmtId="0" fontId="5" fillId="7" borderId="18" xfId="1" applyFill="1" applyBorder="1"/>
    <xf numFmtId="0" fontId="0" fillId="11" borderId="0" xfId="0" applyFill="1"/>
    <xf numFmtId="0" fontId="4" fillId="11" borderId="0" xfId="0" applyFont="1" applyFill="1"/>
    <xf numFmtId="164" fontId="5" fillId="0" borderId="0" xfId="1" applyNumberFormat="1" applyFill="1" applyBorder="1" applyAlignment="1">
      <alignment horizontal="center" vertical="center"/>
    </xf>
    <xf numFmtId="0" fontId="5" fillId="6" borderId="0" xfId="1" applyFill="1"/>
    <xf numFmtId="0" fontId="4" fillId="10" borderId="3" xfId="1" applyFont="1" applyFill="1" applyBorder="1" applyAlignment="1">
      <alignment horizontal="center" vertical="center"/>
    </xf>
    <xf numFmtId="0" fontId="5" fillId="0" borderId="3" xfId="1" applyBorder="1" applyAlignment="1">
      <alignment horizontal="center" vertical="center"/>
    </xf>
    <xf numFmtId="0" fontId="4" fillId="0" borderId="3" xfId="1" applyFont="1" applyFill="1" applyBorder="1" applyAlignment="1">
      <alignment horizontal="center" vertical="center"/>
    </xf>
    <xf numFmtId="0" fontId="4" fillId="0" borderId="18" xfId="1" applyFont="1" applyFill="1" applyBorder="1" applyAlignment="1">
      <alignment horizontal="center" vertical="center"/>
    </xf>
    <xf numFmtId="0" fontId="5" fillId="0" borderId="26" xfId="1" applyBorder="1" applyAlignment="1">
      <alignment horizontal="center" vertical="center"/>
    </xf>
    <xf numFmtId="0" fontId="4" fillId="7" borderId="3" xfId="1" applyFont="1" applyFill="1" applyBorder="1" applyAlignment="1">
      <alignment horizontal="center" vertical="center"/>
    </xf>
    <xf numFmtId="0" fontId="5" fillId="0" borderId="3" xfId="1" applyFont="1" applyBorder="1" applyAlignment="1">
      <alignment vertical="center"/>
    </xf>
    <xf numFmtId="0" fontId="5" fillId="0" borderId="3" xfId="1" applyFont="1" applyFill="1" applyBorder="1" applyAlignment="1">
      <alignment horizontal="right" vertical="center"/>
    </xf>
    <xf numFmtId="2" fontId="5" fillId="0" borderId="3" xfId="1" applyNumberFormat="1" applyFill="1" applyBorder="1" applyAlignment="1">
      <alignment horizontal="center" vertical="center"/>
    </xf>
    <xf numFmtId="0" fontId="5" fillId="0" borderId="30" xfId="1" applyBorder="1"/>
    <xf numFmtId="0" fontId="4" fillId="0" borderId="20" xfId="1" applyFont="1" applyBorder="1" applyAlignment="1">
      <alignment vertical="center"/>
    </xf>
    <xf numFmtId="0" fontId="5" fillId="0" borderId="20" xfId="1" applyBorder="1" applyAlignment="1">
      <alignment horizontal="center" vertical="center"/>
    </xf>
    <xf numFmtId="0" fontId="4" fillId="0" borderId="20" xfId="1" applyFont="1" applyFill="1" applyBorder="1" applyAlignment="1">
      <alignment horizontal="right" vertical="center"/>
    </xf>
    <xf numFmtId="2" fontId="4" fillId="0" borderId="20" xfId="1" applyNumberFormat="1" applyFont="1" applyFill="1" applyBorder="1" applyAlignment="1">
      <alignment horizontal="center" vertical="center"/>
    </xf>
    <xf numFmtId="0" fontId="5" fillId="0" borderId="31" xfId="1" applyFont="1" applyBorder="1"/>
    <xf numFmtId="0" fontId="5" fillId="0" borderId="29" xfId="1" applyBorder="1"/>
    <xf numFmtId="0" fontId="5" fillId="0" borderId="26" xfId="1" applyFont="1" applyBorder="1" applyAlignment="1">
      <alignment vertical="center"/>
    </xf>
    <xf numFmtId="0" fontId="4" fillId="0" borderId="26" xfId="1" applyFont="1" applyFill="1" applyBorder="1" applyAlignment="1">
      <alignment horizontal="right" vertical="center"/>
    </xf>
    <xf numFmtId="165" fontId="5" fillId="0" borderId="26" xfId="1" applyNumberFormat="1" applyFont="1" applyBorder="1" applyAlignment="1">
      <alignment horizontal="center" vertical="center"/>
    </xf>
    <xf numFmtId="0" fontId="5" fillId="0" borderId="24" xfId="1" applyBorder="1" applyAlignment="1">
      <alignment horizontal="center" vertical="center"/>
    </xf>
    <xf numFmtId="0" fontId="5" fillId="6" borderId="0" xfId="1" applyFont="1" applyFill="1" applyBorder="1"/>
    <xf numFmtId="0" fontId="5" fillId="6" borderId="0" xfId="1" applyFill="1" applyBorder="1"/>
    <xf numFmtId="0" fontId="0" fillId="6" borderId="3" xfId="0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166" fontId="0" fillId="0" borderId="4" xfId="0" applyNumberFormat="1" applyBorder="1"/>
    <xf numFmtId="0" fontId="5" fillId="0" borderId="10" xfId="0" quotePrefix="1" applyFont="1" applyFill="1" applyBorder="1"/>
    <xf numFmtId="49" fontId="7" fillId="7" borderId="8" xfId="0" applyNumberFormat="1" applyFont="1" applyFill="1" applyBorder="1" applyAlignment="1"/>
    <xf numFmtId="0" fontId="4" fillId="0" borderId="36" xfId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/>
    </xf>
    <xf numFmtId="0" fontId="5" fillId="0" borderId="0" xfId="1" applyFont="1" applyFill="1" applyBorder="1"/>
    <xf numFmtId="0" fontId="5" fillId="0" borderId="0" xfId="1" applyFont="1" applyFill="1" applyBorder="1" applyAlignment="1">
      <alignment vertical="center"/>
    </xf>
    <xf numFmtId="0" fontId="5" fillId="0" borderId="3" xfId="1" applyFont="1" applyFill="1" applyBorder="1" applyAlignment="1">
      <alignment vertical="center"/>
    </xf>
    <xf numFmtId="0" fontId="5" fillId="0" borderId="20" xfId="1" applyFont="1" applyFill="1" applyBorder="1" applyAlignment="1">
      <alignment vertical="center"/>
    </xf>
    <xf numFmtId="0" fontId="5" fillId="0" borderId="17" xfId="1" applyFont="1" applyFill="1" applyBorder="1"/>
    <xf numFmtId="0" fontId="5" fillId="0" borderId="19" xfId="1" applyFont="1" applyFill="1" applyBorder="1"/>
    <xf numFmtId="0" fontId="5" fillId="0" borderId="3" xfId="1" applyFont="1" applyFill="1" applyBorder="1" applyAlignment="1">
      <alignment horizontal="center" vertical="center"/>
    </xf>
    <xf numFmtId="164" fontId="5" fillId="0" borderId="3" xfId="1" applyNumberFormat="1" applyFill="1" applyBorder="1" applyAlignment="1">
      <alignment horizontal="center" vertical="center"/>
    </xf>
    <xf numFmtId="0" fontId="5" fillId="0" borderId="20" xfId="1" applyFont="1" applyFill="1" applyBorder="1" applyAlignment="1">
      <alignment horizontal="center" vertical="center"/>
    </xf>
    <xf numFmtId="164" fontId="5" fillId="0" borderId="20" xfId="1" applyNumberFormat="1" applyFill="1" applyBorder="1" applyAlignment="1">
      <alignment horizontal="center" vertical="center"/>
    </xf>
    <xf numFmtId="165" fontId="5" fillId="7" borderId="3" xfId="1" applyNumberFormat="1" applyFill="1" applyBorder="1" applyAlignment="1">
      <alignment horizontal="center" vertical="center"/>
    </xf>
    <xf numFmtId="165" fontId="5" fillId="0" borderId="3" xfId="1" applyNumberFormat="1" applyBorder="1" applyAlignment="1">
      <alignment horizontal="center" vertical="center"/>
    </xf>
    <xf numFmtId="164" fontId="5" fillId="0" borderId="36" xfId="1" applyNumberFormat="1" applyFill="1" applyBorder="1" applyAlignment="1">
      <alignment horizontal="center" vertical="center"/>
    </xf>
    <xf numFmtId="164" fontId="5" fillId="0" borderId="35" xfId="1" applyNumberFormat="1" applyFill="1" applyBorder="1" applyAlignment="1">
      <alignment horizontal="center" vertical="center"/>
    </xf>
    <xf numFmtId="0" fontId="5" fillId="0" borderId="38" xfId="1" applyBorder="1" applyAlignment="1">
      <alignment horizontal="center" vertical="center"/>
    </xf>
    <xf numFmtId="0" fontId="5" fillId="0" borderId="0" xfId="1"/>
    <xf numFmtId="0" fontId="5" fillId="0" borderId="0" xfId="1" applyBorder="1"/>
    <xf numFmtId="165" fontId="5" fillId="0" borderId="0" xfId="1" applyNumberFormat="1"/>
    <xf numFmtId="0" fontId="5" fillId="0" borderId="9" xfId="1" applyBorder="1"/>
    <xf numFmtId="167" fontId="5" fillId="0" borderId="33" xfId="0" applyNumberFormat="1" applyFont="1" applyFill="1" applyBorder="1" applyAlignment="1">
      <alignment horizontal="center" vertical="center"/>
    </xf>
    <xf numFmtId="167" fontId="5" fillId="0" borderId="34" xfId="0" applyNumberFormat="1" applyFont="1" applyFill="1" applyBorder="1" applyAlignment="1">
      <alignment horizontal="center" vertical="center"/>
    </xf>
    <xf numFmtId="0" fontId="0" fillId="6" borderId="3" xfId="0" applyFill="1" applyBorder="1"/>
    <xf numFmtId="0" fontId="0" fillId="6" borderId="3" xfId="0" applyFill="1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0" fillId="6" borderId="3" xfId="0" applyFill="1" applyBorder="1" applyAlignment="1">
      <alignment horizontal="left"/>
    </xf>
    <xf numFmtId="0" fontId="5" fillId="6" borderId="3" xfId="0" applyFont="1" applyFill="1" applyBorder="1" applyAlignment="1">
      <alignment horizontal="left"/>
    </xf>
    <xf numFmtId="0" fontId="5" fillId="6" borderId="3" xfId="0" applyFont="1" applyFill="1" applyBorder="1"/>
    <xf numFmtId="0" fontId="5" fillId="6" borderId="3" xfId="0" applyFont="1" applyFill="1" applyBorder="1" applyAlignment="1">
      <alignment wrapText="1"/>
    </xf>
    <xf numFmtId="0" fontId="5" fillId="0" borderId="0" xfId="1" applyAlignment="1">
      <alignment wrapText="1"/>
    </xf>
    <xf numFmtId="0" fontId="0" fillId="0" borderId="0" xfId="0" applyAlignment="1">
      <alignment wrapText="1"/>
    </xf>
    <xf numFmtId="0" fontId="5" fillId="0" borderId="0" xfId="1" applyBorder="1" applyAlignment="1">
      <alignment wrapText="1"/>
    </xf>
    <xf numFmtId="0" fontId="5" fillId="0" borderId="0" xfId="1" applyAlignment="1">
      <alignment horizontal="center"/>
    </xf>
    <xf numFmtId="0" fontId="5" fillId="0" borderId="0" xfId="1" applyAlignment="1">
      <alignment horizontal="left"/>
    </xf>
    <xf numFmtId="165" fontId="5" fillId="0" borderId="0" xfId="1" applyNumberFormat="1" applyFont="1" applyAlignment="1">
      <alignment horizontal="center"/>
    </xf>
    <xf numFmtId="2" fontId="5" fillId="0" borderId="0" xfId="1" applyNumberFormat="1" applyFont="1" applyAlignment="1">
      <alignment horizontal="center"/>
    </xf>
    <xf numFmtId="0" fontId="3" fillId="0" borderId="4" xfId="3" applyBorder="1"/>
    <xf numFmtId="0" fontId="3" fillId="0" borderId="9" xfId="3" applyBorder="1"/>
    <xf numFmtId="0" fontId="3" fillId="0" borderId="6" xfId="3" applyBorder="1"/>
    <xf numFmtId="0" fontId="3" fillId="0" borderId="10" xfId="3" applyBorder="1"/>
    <xf numFmtId="0" fontId="3" fillId="0" borderId="0" xfId="3"/>
    <xf numFmtId="0" fontId="3" fillId="0" borderId="2" xfId="3" applyBorder="1"/>
    <xf numFmtId="0" fontId="3" fillId="6" borderId="42" xfId="3" applyFill="1" applyBorder="1"/>
    <xf numFmtId="0" fontId="3" fillId="0" borderId="7" xfId="3" applyBorder="1"/>
    <xf numFmtId="0" fontId="3" fillId="0" borderId="1" xfId="3" applyBorder="1"/>
    <xf numFmtId="0" fontId="3" fillId="0" borderId="0" xfId="3" applyBorder="1"/>
    <xf numFmtId="0" fontId="3" fillId="6" borderId="43" xfId="3" applyFill="1" applyBorder="1"/>
    <xf numFmtId="0" fontId="3" fillId="0" borderId="11" xfId="3" applyBorder="1"/>
    <xf numFmtId="0" fontId="3" fillId="12" borderId="1" xfId="3" applyFill="1" applyBorder="1"/>
    <xf numFmtId="0" fontId="3" fillId="12" borderId="0" xfId="3" applyFill="1" applyBorder="1"/>
    <xf numFmtId="0" fontId="3" fillId="12" borderId="11" xfId="3" applyFill="1" applyBorder="1"/>
    <xf numFmtId="0" fontId="3" fillId="0" borderId="5" xfId="3" applyBorder="1"/>
    <xf numFmtId="0" fontId="3" fillId="0" borderId="8" xfId="3" applyBorder="1"/>
    <xf numFmtId="0" fontId="3" fillId="6" borderId="44" xfId="3" applyFill="1" applyBorder="1"/>
    <xf numFmtId="0" fontId="3" fillId="0" borderId="12" xfId="3" applyBorder="1"/>
    <xf numFmtId="0" fontId="3" fillId="9" borderId="29" xfId="3" applyFill="1" applyBorder="1"/>
    <xf numFmtId="0" fontId="11" fillId="9" borderId="13" xfId="3" applyFont="1" applyFill="1" applyBorder="1"/>
    <xf numFmtId="0" fontId="3" fillId="9" borderId="14" xfId="3" applyFill="1" applyBorder="1"/>
    <xf numFmtId="0" fontId="3" fillId="9" borderId="13" xfId="3" applyFill="1" applyBorder="1"/>
    <xf numFmtId="0" fontId="3" fillId="9" borderId="31" xfId="3" applyFill="1" applyBorder="1"/>
    <xf numFmtId="0" fontId="3" fillId="9" borderId="41" xfId="3" applyFill="1" applyBorder="1"/>
    <xf numFmtId="0" fontId="3" fillId="9" borderId="40" xfId="3" applyFill="1" applyBorder="1"/>
    <xf numFmtId="0" fontId="3" fillId="0" borderId="0" xfId="3" applyAlignment="1">
      <alignment horizontal="center"/>
    </xf>
    <xf numFmtId="0" fontId="3" fillId="0" borderId="29" xfId="3" applyBorder="1"/>
    <xf numFmtId="0" fontId="3" fillId="0" borderId="13" xfId="3" applyBorder="1"/>
    <xf numFmtId="0" fontId="3" fillId="0" borderId="14" xfId="3" applyBorder="1"/>
    <xf numFmtId="0" fontId="3" fillId="0" borderId="31" xfId="3" applyBorder="1"/>
    <xf numFmtId="0" fontId="3" fillId="0" borderId="41" xfId="3" applyBorder="1"/>
    <xf numFmtId="168" fontId="3" fillId="0" borderId="40" xfId="3" applyNumberFormat="1" applyBorder="1"/>
    <xf numFmtId="0" fontId="12" fillId="0" borderId="45" xfId="3" applyFont="1" applyBorder="1"/>
    <xf numFmtId="0" fontId="12" fillId="0" borderId="46" xfId="3" applyFont="1" applyBorder="1"/>
    <xf numFmtId="0" fontId="3" fillId="0" borderId="46" xfId="3" applyBorder="1"/>
    <xf numFmtId="0" fontId="12" fillId="0" borderId="45" xfId="3" applyFont="1" applyBorder="1" applyAlignment="1">
      <alignment horizontal="center"/>
    </xf>
    <xf numFmtId="0" fontId="12" fillId="0" borderId="46" xfId="3" applyFont="1" applyBorder="1" applyAlignment="1">
      <alignment wrapText="1"/>
    </xf>
    <xf numFmtId="0" fontId="12" fillId="0" borderId="47" xfId="3" applyFont="1" applyBorder="1" applyAlignment="1">
      <alignment wrapText="1"/>
    </xf>
    <xf numFmtId="17" fontId="3" fillId="0" borderId="0" xfId="3" applyNumberFormat="1"/>
    <xf numFmtId="168" fontId="3" fillId="0" borderId="0" xfId="3" applyNumberFormat="1"/>
    <xf numFmtId="169" fontId="13" fillId="0" borderId="0" xfId="2" applyNumberFormat="1" applyFont="1"/>
    <xf numFmtId="168" fontId="3" fillId="0" borderId="46" xfId="3" applyNumberFormat="1" applyBorder="1"/>
    <xf numFmtId="169" fontId="13" fillId="0" borderId="46" xfId="2" applyNumberFormat="1" applyFont="1" applyBorder="1"/>
    <xf numFmtId="169" fontId="13" fillId="0" borderId="47" xfId="2" applyNumberFormat="1" applyFont="1" applyBorder="1"/>
    <xf numFmtId="0" fontId="3" fillId="13" borderId="0" xfId="3" applyFill="1" applyAlignment="1">
      <alignment horizontal="center"/>
    </xf>
    <xf numFmtId="0" fontId="3" fillId="13" borderId="0" xfId="3" applyFill="1"/>
    <xf numFmtId="169" fontId="13" fillId="13" borderId="0" xfId="2" applyNumberFormat="1" applyFont="1" applyFill="1"/>
    <xf numFmtId="169" fontId="3" fillId="13" borderId="0" xfId="3" applyNumberFormat="1" applyFill="1" applyBorder="1"/>
    <xf numFmtId="0" fontId="3" fillId="9" borderId="0" xfId="3" applyFill="1"/>
    <xf numFmtId="0" fontId="3" fillId="0" borderId="0" xfId="3" applyAlignment="1">
      <alignment horizontal="left"/>
    </xf>
    <xf numFmtId="168" fontId="3" fillId="0" borderId="0" xfId="3" applyNumberFormat="1" applyFill="1" applyBorder="1"/>
    <xf numFmtId="0" fontId="3" fillId="13" borderId="0" xfId="3" applyFill="1" applyAlignment="1">
      <alignment horizontal="left"/>
    </xf>
    <xf numFmtId="3" fontId="3" fillId="0" borderId="0" xfId="3" applyNumberFormat="1"/>
    <xf numFmtId="0" fontId="3" fillId="0" borderId="0" xfId="3" applyAlignment="1">
      <alignment wrapText="1"/>
    </xf>
    <xf numFmtId="0" fontId="3" fillId="13" borderId="0" xfId="3" applyFill="1" applyBorder="1"/>
    <xf numFmtId="168" fontId="3" fillId="13" borderId="0" xfId="3" applyNumberFormat="1" applyFill="1" applyBorder="1"/>
    <xf numFmtId="168" fontId="3" fillId="13" borderId="0" xfId="3" applyNumberFormat="1" applyFill="1"/>
    <xf numFmtId="169" fontId="13" fillId="13" borderId="0" xfId="2" applyNumberFormat="1" applyFont="1" applyFill="1" applyBorder="1"/>
    <xf numFmtId="0" fontId="3" fillId="0" borderId="0" xfId="3" applyAlignment="1" applyProtection="1">
      <alignment horizontal="left"/>
      <protection locked="0"/>
    </xf>
    <xf numFmtId="0" fontId="4" fillId="0" borderId="8" xfId="1" applyFont="1" applyBorder="1" applyAlignment="1">
      <alignment horizontal="center"/>
    </xf>
    <xf numFmtId="165" fontId="4" fillId="0" borderId="8" xfId="1" applyNumberFormat="1" applyFont="1" applyBorder="1" applyAlignment="1">
      <alignment horizontal="center"/>
    </xf>
    <xf numFmtId="0" fontId="4" fillId="0" borderId="0" xfId="1" applyFont="1"/>
    <xf numFmtId="165" fontId="5" fillId="0" borderId="0" xfId="1" applyNumberFormat="1" applyAlignment="1">
      <alignment horizontal="center"/>
    </xf>
    <xf numFmtId="0" fontId="4" fillId="0" borderId="0" xfId="1" applyFont="1" applyAlignment="1">
      <alignment horizontal="center"/>
    </xf>
    <xf numFmtId="165" fontId="4" fillId="0" borderId="0" xfId="1" applyNumberFormat="1" applyFont="1"/>
    <xf numFmtId="168" fontId="5" fillId="0" borderId="0" xfId="1" applyNumberFormat="1" applyFont="1" applyAlignment="1">
      <alignment horizontal="center"/>
    </xf>
    <xf numFmtId="165" fontId="5" fillId="0" borderId="0" xfId="1" applyNumberForma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5" fontId="5" fillId="0" borderId="0" xfId="1" applyNumberFormat="1" applyBorder="1" applyAlignment="1">
      <alignment horizontal="center" vertical="center" wrapText="1"/>
    </xf>
    <xf numFmtId="168" fontId="5" fillId="0" borderId="0" xfId="1" applyNumberFormat="1" applyFill="1" applyBorder="1" applyAlignment="1">
      <alignment horizontal="center" vertical="center" wrapText="1"/>
    </xf>
    <xf numFmtId="168" fontId="5" fillId="0" borderId="0" xfId="0" applyNumberFormat="1" applyFont="1" applyBorder="1" applyAlignment="1">
      <alignment horizontal="center"/>
    </xf>
    <xf numFmtId="0" fontId="5" fillId="0" borderId="0" xfId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3" applyAlignment="1">
      <alignment horizontal="center" vertical="top" wrapText="1"/>
    </xf>
    <xf numFmtId="165" fontId="3" fillId="0" borderId="0" xfId="3" applyNumberFormat="1" applyBorder="1" applyAlignment="1">
      <alignment horizontal="center"/>
    </xf>
    <xf numFmtId="170" fontId="3" fillId="0" borderId="0" xfId="3" applyNumberFormat="1" applyBorder="1" applyAlignment="1">
      <alignment horizontal="center"/>
    </xf>
    <xf numFmtId="3" fontId="3" fillId="0" borderId="0" xfId="3" applyNumberFormat="1" applyBorder="1" applyAlignment="1">
      <alignment horizontal="center"/>
    </xf>
    <xf numFmtId="1" fontId="3" fillId="0" borderId="0" xfId="3" applyNumberFormat="1" applyBorder="1" applyAlignment="1">
      <alignment horizontal="center"/>
    </xf>
    <xf numFmtId="0" fontId="3" fillId="0" borderId="0" xfId="3" applyBorder="1" applyAlignment="1">
      <alignment horizontal="center"/>
    </xf>
    <xf numFmtId="2" fontId="3" fillId="0" borderId="0" xfId="3" applyNumberFormat="1" applyBorder="1" applyAlignment="1">
      <alignment horizontal="center"/>
    </xf>
    <xf numFmtId="0" fontId="3" fillId="0" borderId="0" xfId="3" applyFill="1" applyAlignment="1">
      <alignment horizontal="center"/>
    </xf>
    <xf numFmtId="0" fontId="4" fillId="0" borderId="0" xfId="1" applyFont="1" applyAlignment="1">
      <alignment horizontal="left"/>
    </xf>
    <xf numFmtId="1" fontId="5" fillId="0" borderId="0" xfId="1" applyNumberFormat="1" applyFont="1" applyAlignment="1">
      <alignment horizontal="center"/>
    </xf>
    <xf numFmtId="0" fontId="3" fillId="0" borderId="0" xfId="3" applyBorder="1" applyAlignment="1">
      <alignment horizontal="left"/>
    </xf>
    <xf numFmtId="0" fontId="3" fillId="0" borderId="0" xfId="3" applyFill="1" applyBorder="1" applyAlignment="1">
      <alignment horizontal="center" vertical="top" wrapText="1"/>
    </xf>
    <xf numFmtId="0" fontId="14" fillId="0" borderId="0" xfId="3" applyFont="1" applyAlignment="1">
      <alignment horizontal="left"/>
    </xf>
    <xf numFmtId="0" fontId="11" fillId="0" borderId="0" xfId="3" applyFont="1" applyFill="1" applyBorder="1" applyAlignment="1">
      <alignment horizontal="center" wrapText="1"/>
    </xf>
    <xf numFmtId="49" fontId="11" fillId="0" borderId="0" xfId="3" applyNumberFormat="1" applyFont="1" applyFill="1" applyBorder="1" applyAlignment="1">
      <alignment horizontal="center"/>
    </xf>
    <xf numFmtId="0" fontId="11" fillId="0" borderId="0" xfId="3" applyFont="1" applyBorder="1" applyAlignment="1">
      <alignment horizontal="left"/>
    </xf>
    <xf numFmtId="0" fontId="15" fillId="0" borderId="0" xfId="3" applyFont="1" applyFill="1" applyBorder="1" applyAlignment="1">
      <alignment horizontal="center" wrapText="1"/>
    </xf>
    <xf numFmtId="0" fontId="11" fillId="0" borderId="0" xfId="3" applyFont="1" applyAlignment="1">
      <alignment horizontal="center"/>
    </xf>
    <xf numFmtId="0" fontId="11" fillId="0" borderId="0" xfId="3" applyFont="1" applyFill="1" applyBorder="1" applyAlignment="1">
      <alignment horizontal="left" wrapText="1"/>
    </xf>
    <xf numFmtId="165" fontId="4" fillId="0" borderId="0" xfId="1" applyNumberFormat="1" applyFont="1" applyAlignment="1">
      <alignment horizontal="center"/>
    </xf>
    <xf numFmtId="168" fontId="3" fillId="0" borderId="0" xfId="3" applyNumberFormat="1" applyBorder="1" applyAlignment="1">
      <alignment horizontal="center"/>
    </xf>
    <xf numFmtId="0" fontId="15" fillId="0" borderId="0" xfId="3" applyFont="1" applyAlignment="1">
      <alignment horizontal="center"/>
    </xf>
    <xf numFmtId="0" fontId="4" fillId="6" borderId="0" xfId="1" applyFont="1" applyFill="1" applyAlignment="1">
      <alignment horizontal="left"/>
    </xf>
    <xf numFmtId="0" fontId="5" fillId="0" borderId="0" xfId="1" applyFill="1"/>
    <xf numFmtId="0" fontId="3" fillId="0" borderId="0" xfId="3" applyFill="1" applyAlignment="1">
      <alignment horizontal="center" vertical="top" wrapText="1"/>
    </xf>
    <xf numFmtId="0" fontId="3" fillId="0" borderId="0" xfId="3" applyFill="1" applyBorder="1" applyAlignment="1">
      <alignment horizontal="left"/>
    </xf>
    <xf numFmtId="165" fontId="3" fillId="0" borderId="0" xfId="3" applyNumberFormat="1" applyFill="1" applyBorder="1" applyAlignment="1">
      <alignment horizontal="center"/>
    </xf>
    <xf numFmtId="170" fontId="3" fillId="0" borderId="0" xfId="3" applyNumberFormat="1" applyFill="1" applyBorder="1" applyAlignment="1">
      <alignment horizontal="center"/>
    </xf>
    <xf numFmtId="3" fontId="3" fillId="0" borderId="0" xfId="3" applyNumberFormat="1" applyFill="1" applyBorder="1" applyAlignment="1">
      <alignment horizontal="center"/>
    </xf>
    <xf numFmtId="0" fontId="0" fillId="9" borderId="49" xfId="0" applyFill="1" applyBorder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applyFont="1" applyAlignment="1"/>
    <xf numFmtId="0" fontId="5" fillId="0" borderId="0" xfId="1" applyFont="1" applyAlignment="1">
      <alignment horizontal="right"/>
    </xf>
    <xf numFmtId="0" fontId="5" fillId="0" borderId="0" xfId="1" applyAlignment="1">
      <alignment horizontal="right"/>
    </xf>
    <xf numFmtId="0" fontId="4" fillId="0" borderId="0" xfId="1" applyFont="1" applyFill="1" applyAlignment="1">
      <alignment horizontal="center"/>
    </xf>
    <xf numFmtId="0" fontId="5" fillId="0" borderId="0" xfId="1" applyFont="1" applyFill="1" applyAlignment="1">
      <alignment horizontal="center"/>
    </xf>
    <xf numFmtId="0" fontId="5" fillId="0" borderId="0" xfId="1" applyFont="1" applyFill="1" applyAlignment="1">
      <alignment horizontal="left"/>
    </xf>
    <xf numFmtId="0" fontId="5" fillId="0" borderId="0" xfId="1" applyFill="1" applyAlignment="1">
      <alignment horizontal="left"/>
    </xf>
    <xf numFmtId="0" fontId="3" fillId="0" borderId="0" xfId="3" applyFill="1"/>
    <xf numFmtId="168" fontId="3" fillId="0" borderId="0" xfId="3" applyNumberFormat="1" applyFill="1"/>
    <xf numFmtId="169" fontId="13" fillId="0" borderId="0" xfId="2" applyNumberFormat="1" applyFont="1" applyFill="1"/>
    <xf numFmtId="0" fontId="3" fillId="0" borderId="46" xfId="3" applyFill="1" applyBorder="1"/>
    <xf numFmtId="168" fontId="3" fillId="0" borderId="46" xfId="3" applyNumberFormat="1" applyFill="1" applyBorder="1"/>
    <xf numFmtId="169" fontId="13" fillId="0" borderId="46" xfId="2" applyNumberFormat="1" applyFont="1" applyFill="1" applyBorder="1"/>
    <xf numFmtId="169" fontId="13" fillId="0" borderId="47" xfId="2" applyNumberFormat="1" applyFont="1" applyFill="1" applyBorder="1"/>
    <xf numFmtId="17" fontId="3" fillId="0" borderId="0" xfId="3" applyNumberFormat="1" applyFill="1"/>
    <xf numFmtId="0" fontId="3" fillId="0" borderId="0" xfId="3" applyBorder="1" applyAlignment="1">
      <alignment horizontal="center" vertical="top" wrapText="1"/>
    </xf>
    <xf numFmtId="0" fontId="3" fillId="0" borderId="0" xfId="3" applyFill="1" applyBorder="1" applyAlignment="1">
      <alignment horizontal="center"/>
    </xf>
    <xf numFmtId="0" fontId="16" fillId="6" borderId="29" xfId="3" applyFont="1" applyFill="1" applyBorder="1" applyAlignment="1">
      <alignment horizontal="center" wrapText="1"/>
    </xf>
    <xf numFmtId="49" fontId="11" fillId="16" borderId="14" xfId="3" applyNumberFormat="1" applyFont="1" applyFill="1" applyBorder="1" applyAlignment="1">
      <alignment horizontal="center" wrapText="1"/>
    </xf>
    <xf numFmtId="49" fontId="11" fillId="0" borderId="30" xfId="3" applyNumberFormat="1" applyFont="1" applyFill="1" applyBorder="1" applyAlignment="1">
      <alignment horizontal="center"/>
    </xf>
    <xf numFmtId="0" fontId="3" fillId="0" borderId="48" xfId="3" applyBorder="1" applyAlignment="1">
      <alignment horizontal="center"/>
    </xf>
    <xf numFmtId="0" fontId="3" fillId="0" borderId="48" xfId="3" applyFill="1" applyBorder="1" applyAlignment="1">
      <alignment horizontal="center"/>
    </xf>
    <xf numFmtId="2" fontId="11" fillId="6" borderId="30" xfId="3" applyNumberFormat="1" applyFont="1" applyFill="1" applyBorder="1" applyAlignment="1">
      <alignment horizontal="center"/>
    </xf>
    <xf numFmtId="168" fontId="11" fillId="6" borderId="30" xfId="3" applyNumberFormat="1" applyFont="1" applyFill="1" applyBorder="1" applyAlignment="1">
      <alignment horizontal="center"/>
    </xf>
    <xf numFmtId="1" fontId="11" fillId="6" borderId="31" xfId="3" applyNumberFormat="1" applyFont="1" applyFill="1" applyBorder="1" applyAlignment="1">
      <alignment horizontal="center"/>
    </xf>
    <xf numFmtId="0" fontId="3" fillId="0" borderId="40" xfId="3" applyBorder="1" applyAlignment="1">
      <alignment horizontal="center"/>
    </xf>
    <xf numFmtId="0" fontId="14" fillId="0" borderId="0" xfId="3" applyFont="1" applyBorder="1" applyAlignment="1">
      <alignment horizontal="left"/>
    </xf>
    <xf numFmtId="0" fontId="16" fillId="0" borderId="0" xfId="3" applyFont="1" applyFill="1" applyBorder="1" applyAlignment="1">
      <alignment horizontal="center" wrapText="1"/>
    </xf>
    <xf numFmtId="49" fontId="11" fillId="0" borderId="0" xfId="3" applyNumberFormat="1" applyFont="1" applyFill="1" applyBorder="1" applyAlignment="1">
      <alignment horizontal="center" wrapText="1"/>
    </xf>
    <xf numFmtId="0" fontId="3" fillId="0" borderId="8" xfId="3" applyFill="1" applyBorder="1" applyAlignment="1">
      <alignment horizontal="left"/>
    </xf>
    <xf numFmtId="165" fontId="3" fillId="0" borderId="8" xfId="3" applyNumberFormat="1" applyFill="1" applyBorder="1" applyAlignment="1">
      <alignment horizontal="center"/>
    </xf>
    <xf numFmtId="170" fontId="3" fillId="0" borderId="8" xfId="3" applyNumberFormat="1" applyFill="1" applyBorder="1" applyAlignment="1">
      <alignment horizontal="center"/>
    </xf>
    <xf numFmtId="3" fontId="3" fillId="0" borderId="8" xfId="3" applyNumberFormat="1" applyFill="1" applyBorder="1" applyAlignment="1">
      <alignment horizontal="center"/>
    </xf>
    <xf numFmtId="0" fontId="11" fillId="0" borderId="4" xfId="3" applyFont="1" applyFill="1" applyBorder="1" applyAlignment="1">
      <alignment horizontal="left"/>
    </xf>
    <xf numFmtId="0" fontId="3" fillId="0" borderId="9" xfId="3" applyFill="1" applyBorder="1" applyAlignment="1">
      <alignment horizontal="center"/>
    </xf>
    <xf numFmtId="0" fontId="3" fillId="17" borderId="10" xfId="3" applyFill="1" applyBorder="1" applyAlignment="1">
      <alignment horizontal="center"/>
    </xf>
    <xf numFmtId="168" fontId="17" fillId="0" borderId="0" xfId="3" applyNumberFormat="1" applyFont="1" applyFill="1" applyAlignment="1">
      <alignment horizontal="center"/>
    </xf>
    <xf numFmtId="168" fontId="17" fillId="0" borderId="0" xfId="3" applyNumberFormat="1" applyFont="1" applyAlignment="1">
      <alignment horizontal="center"/>
    </xf>
    <xf numFmtId="0" fontId="17" fillId="0" borderId="0" xfId="3" applyFont="1" applyAlignment="1">
      <alignment horizontal="left"/>
    </xf>
    <xf numFmtId="0" fontId="3" fillId="0" borderId="48" xfId="3" applyFill="1" applyBorder="1" applyAlignment="1">
      <alignment horizontal="center" vertical="top" wrapText="1"/>
    </xf>
    <xf numFmtId="0" fontId="3" fillId="0" borderId="8" xfId="3" applyBorder="1" applyAlignment="1">
      <alignment horizontal="center"/>
    </xf>
    <xf numFmtId="0" fontId="1" fillId="7" borderId="48" xfId="3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5" fillId="0" borderId="26" xfId="1" applyBorder="1" applyAlignment="1"/>
    <xf numFmtId="0" fontId="1" fillId="0" borderId="0" xfId="3" applyFont="1" applyAlignment="1">
      <alignment horizontal="center"/>
    </xf>
    <xf numFmtId="0" fontId="1" fillId="0" borderId="0" xfId="3" applyFont="1" applyAlignment="1">
      <alignment horizontal="left"/>
    </xf>
    <xf numFmtId="0" fontId="1" fillId="0" borderId="0" xfId="3" applyFont="1" applyFill="1" applyAlignment="1">
      <alignment horizontal="left"/>
    </xf>
    <xf numFmtId="17" fontId="1" fillId="0" borderId="0" xfId="3" applyNumberFormat="1" applyFont="1" applyFill="1"/>
    <xf numFmtId="0" fontId="1" fillId="0" borderId="0" xfId="3" applyFont="1" applyFill="1"/>
    <xf numFmtId="1" fontId="1" fillId="0" borderId="0" xfId="3" applyNumberFormat="1" applyFont="1" applyBorder="1" applyAlignment="1">
      <alignment horizontal="center"/>
    </xf>
    <xf numFmtId="1" fontId="1" fillId="0" borderId="30" xfId="3" applyNumberFormat="1" applyFont="1" applyBorder="1" applyAlignment="1">
      <alignment horizontal="center"/>
    </xf>
    <xf numFmtId="0" fontId="1" fillId="16" borderId="48" xfId="3" applyFont="1" applyFill="1" applyBorder="1" applyAlignment="1">
      <alignment horizontal="center"/>
    </xf>
    <xf numFmtId="0" fontId="1" fillId="0" borderId="48" xfId="3" applyFont="1" applyFill="1" applyBorder="1" applyAlignment="1">
      <alignment horizontal="center"/>
    </xf>
    <xf numFmtId="0" fontId="1" fillId="15" borderId="48" xfId="3" applyFont="1" applyFill="1" applyBorder="1" applyAlignment="1">
      <alignment horizontal="center"/>
    </xf>
    <xf numFmtId="1" fontId="1" fillId="0" borderId="0" xfId="3" applyNumberFormat="1" applyFont="1" applyFill="1" applyBorder="1" applyAlignment="1">
      <alignment horizontal="center"/>
    </xf>
    <xf numFmtId="1" fontId="1" fillId="0" borderId="30" xfId="3" applyNumberFormat="1" applyFont="1" applyFill="1" applyBorder="1" applyAlignment="1">
      <alignment horizontal="center"/>
    </xf>
    <xf numFmtId="0" fontId="1" fillId="0" borderId="0" xfId="3" applyFont="1" applyBorder="1" applyAlignment="1">
      <alignment horizontal="left"/>
    </xf>
    <xf numFmtId="0" fontId="1" fillId="0" borderId="0" xfId="3" applyFont="1" applyFill="1" applyBorder="1" applyAlignment="1"/>
    <xf numFmtId="0" fontId="1" fillId="0" borderId="0" xfId="3" applyFont="1" applyBorder="1" applyAlignment="1">
      <alignment horizontal="center"/>
    </xf>
    <xf numFmtId="1" fontId="1" fillId="0" borderId="50" xfId="3" applyNumberFormat="1" applyFont="1" applyFill="1" applyBorder="1" applyAlignment="1">
      <alignment horizontal="center"/>
    </xf>
    <xf numFmtId="0" fontId="1" fillId="16" borderId="51" xfId="3" applyFont="1" applyFill="1" applyBorder="1" applyAlignment="1">
      <alignment horizontal="center"/>
    </xf>
    <xf numFmtId="0" fontId="1" fillId="15" borderId="51" xfId="3" applyFont="1" applyFill="1" applyBorder="1" applyAlignment="1">
      <alignment horizontal="center"/>
    </xf>
    <xf numFmtId="0" fontId="4" fillId="10" borderId="17" xfId="1" applyFont="1" applyFill="1" applyBorder="1" applyAlignment="1">
      <alignment vertical="center"/>
    </xf>
    <xf numFmtId="0" fontId="5" fillId="10" borderId="3" xfId="1" applyFill="1" applyBorder="1" applyAlignment="1"/>
    <xf numFmtId="0" fontId="6" fillId="0" borderId="21" xfId="0" applyFont="1" applyBorder="1" applyAlignment="1">
      <alignment vertical="center"/>
    </xf>
    <xf numFmtId="0" fontId="0" fillId="0" borderId="22" xfId="0" applyBorder="1" applyAlignment="1"/>
    <xf numFmtId="0" fontId="4" fillId="4" borderId="16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14" xfId="0" applyFont="1" applyFill="1" applyBorder="1" applyAlignment="1">
      <alignment horizontal="center" vertical="center"/>
    </xf>
    <xf numFmtId="0" fontId="4" fillId="2" borderId="15" xfId="0" applyFont="1" applyFill="1" applyBorder="1" applyAlignment="1">
      <alignment vertical="center"/>
    </xf>
    <xf numFmtId="0" fontId="0" fillId="0" borderId="10" xfId="0" applyBorder="1" applyAlignment="1"/>
    <xf numFmtId="0" fontId="4" fillId="0" borderId="9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0" fillId="0" borderId="6" xfId="0" applyFill="1" applyBorder="1" applyAlignment="1"/>
    <xf numFmtId="0" fontId="6" fillId="0" borderId="39" xfId="1" applyFont="1" applyBorder="1" applyAlignment="1">
      <alignment vertical="center"/>
    </xf>
    <xf numFmtId="0" fontId="5" fillId="0" borderId="38" xfId="1" applyBorder="1" applyAlignment="1"/>
    <xf numFmtId="0" fontId="4" fillId="10" borderId="38" xfId="1" applyFont="1" applyFill="1" applyBorder="1" applyAlignment="1">
      <alignment horizontal="center" vertical="center"/>
    </xf>
    <xf numFmtId="0" fontId="4" fillId="10" borderId="37" xfId="1" applyFont="1" applyFill="1" applyBorder="1" applyAlignment="1">
      <alignment horizontal="center" vertical="center"/>
    </xf>
    <xf numFmtId="0" fontId="6" fillId="0" borderId="25" xfId="1" applyFont="1" applyBorder="1" applyAlignment="1">
      <alignment vertical="center"/>
    </xf>
    <xf numFmtId="0" fontId="5" fillId="0" borderId="26" xfId="1" applyBorder="1" applyAlignment="1"/>
    <xf numFmtId="0" fontId="4" fillId="10" borderId="26" xfId="1" applyFont="1" applyFill="1" applyBorder="1" applyAlignment="1">
      <alignment horizontal="center" vertical="center"/>
    </xf>
    <xf numFmtId="0" fontId="4" fillId="10" borderId="24" xfId="1" applyFont="1" applyFill="1" applyBorder="1" applyAlignment="1">
      <alignment horizontal="center" vertical="center"/>
    </xf>
    <xf numFmtId="0" fontId="4" fillId="6" borderId="0" xfId="1" applyFont="1" applyFill="1" applyAlignment="1">
      <alignment horizontal="center"/>
    </xf>
    <xf numFmtId="0" fontId="4" fillId="14" borderId="0" xfId="1" applyFont="1" applyFill="1" applyAlignment="1">
      <alignment horizontal="center"/>
    </xf>
    <xf numFmtId="0" fontId="16" fillId="16" borderId="41" xfId="3" applyFont="1" applyFill="1" applyBorder="1" applyAlignment="1">
      <alignment horizontal="center"/>
    </xf>
  </cellXfs>
  <cellStyles count="5">
    <cellStyle name="Currency 2" xfId="2" xr:uid="{00000000-0005-0000-0000-000000000000}"/>
    <cellStyle name="Normal" xfId="0" builtinId="0"/>
    <cellStyle name="Normal 2" xfId="1" xr:uid="{00000000-0005-0000-0000-000002000000}"/>
    <cellStyle name="Normal 3" xfId="3" xr:uid="{00000000-0005-0000-0000-000003000000}"/>
    <cellStyle name="Normal 3 2" xfId="4" xr:uid="{00000000-0005-0000-0000-000004000000}"/>
  </cellStyles>
  <dxfs count="7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9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1.xml"/><Relationship Id="rId1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background_calculations!$E$27:$AI$27</c:f>
              <c:strCache>
                <c:ptCount val="31"/>
                <c:pt idx="0">
                  <c:v>Fish survey</c:v>
                </c:pt>
                <c:pt idx="1">
                  <c:v>Waterfowl survey</c:v>
                </c:pt>
                <c:pt idx="2">
                  <c:v>Marshbird Survey</c:v>
                </c:pt>
                <c:pt idx="3">
                  <c:v>Fox Snake Survey</c:v>
                </c:pt>
                <c:pt idx="4">
                  <c:v>Blanding's Turtle Survey</c:v>
                </c:pt>
                <c:pt idx="5">
                  <c:v>Northern Flicker Survey</c:v>
                </c:pt>
                <c:pt idx="6">
                  <c:v>Rusty Blackbird Survey</c:v>
                </c:pt>
                <c:pt idx="7">
                  <c:v>American Woodcock Survey</c:v>
                </c:pt>
                <c:pt idx="8">
                  <c:v>Shorebird Survey</c:v>
                </c:pt>
                <c:pt idx="9">
                  <c:v>Treatment Evaluation of Phragmites, invasive cattail, reed canary grass</c:v>
                </c:pt>
                <c:pt idx="10">
                  <c:v>Wetland Vegetation Cover Survey with annual summary of mean daily Lake Erie water level/water level management.</c:v>
                </c:pt>
                <c:pt idx="11">
                  <c:v>Eastern Prairie Fringed Orchid</c:v>
                </c:pt>
                <c:pt idx="12">
                  <c:v>Wet Prairie Monitoring</c:v>
                </c:pt>
                <c:pt idx="13">
                  <c:v>Gibraltar Wetlands Forest Invasives Inventory</c:v>
                </c:pt>
                <c:pt idx="14">
                  <c:v>Humbug Marsh Deer Browse Evaluation</c:v>
                </c:pt>
                <c:pt idx="15">
                  <c:v>Phragmites Reduction: Comparison via remote-sensing of 2017 Imagery to 2009 Baseline </c:v>
                </c:pt>
                <c:pt idx="16">
                  <c:v>Multi-agency water quality in the lower Detroit River and the western Lake Erie basin.</c:v>
                </c:pt>
                <c:pt idx="17">
                  <c:v>Muskrat Monitoring</c:v>
                </c:pt>
                <c:pt idx="18">
                  <c:v>Impoundment water levels</c:v>
                </c:pt>
                <c:pt idx="19">
                  <c:v>Forest Ecological Inventory</c:v>
                </c:pt>
                <c:pt idx="20">
                  <c:v>Bald Eagle Monitoring</c:v>
                </c:pt>
                <c:pt idx="21">
                  <c:v>Coordinated Canvasback Survey</c:v>
                </c:pt>
                <c:pt idx="22">
                  <c:v>Lower Great Lakes January Waterfowl Survey (as part of Mid-Winter Waterfowl Survey)</c:v>
                </c:pt>
                <c:pt idx="23">
                  <c:v>Lake sturgeon </c:v>
                </c:pt>
                <c:pt idx="24">
                  <c:v>HGM</c:v>
                </c:pt>
                <c:pt idx="25">
                  <c:v>Grassy Island ground water monitoring</c:v>
                </c:pt>
                <c:pt idx="26">
                  <c:v>NOAA lake level monitoring</c:v>
                </c:pt>
                <c:pt idx="27">
                  <c:v>USGS stream gauge monitoring</c:v>
                </c:pt>
                <c:pt idx="28">
                  <c:v>Aerial Deer Survey</c:v>
                </c:pt>
                <c:pt idx="29">
                  <c:v>Detroit River Hawk Watch</c:v>
                </c:pt>
                <c:pt idx="30">
                  <c:v>Common Tern Monitoring</c:v>
                </c:pt>
              </c:strCache>
            </c:strRef>
          </c:cat>
          <c:val>
            <c:numRef>
              <c:f>background_calculations!$E$47:$AI$47</c:f>
              <c:numCache>
                <c:formatCode>0.00</c:formatCode>
                <c:ptCount val="31"/>
                <c:pt idx="0">
                  <c:v>0.3694866232827187</c:v>
                </c:pt>
                <c:pt idx="1">
                  <c:v>0.58622559652928419</c:v>
                </c:pt>
                <c:pt idx="2">
                  <c:v>0.59544468546637741</c:v>
                </c:pt>
                <c:pt idx="3" formatCode="General">
                  <c:v>0.30892986261749816</c:v>
                </c:pt>
                <c:pt idx="4" formatCode="General">
                  <c:v>0.24566160520607375</c:v>
                </c:pt>
                <c:pt idx="5" formatCode="General">
                  <c:v>0.29067245119305857</c:v>
                </c:pt>
                <c:pt idx="6" formatCode="General">
                  <c:v>0.30694143167028198</c:v>
                </c:pt>
                <c:pt idx="7" formatCode="General">
                  <c:v>0.48879248011569054</c:v>
                </c:pt>
                <c:pt idx="8" formatCode="General">
                  <c:v>0.46113521330441071</c:v>
                </c:pt>
                <c:pt idx="9" formatCode="General">
                  <c:v>0.43022415039768613</c:v>
                </c:pt>
                <c:pt idx="10" formatCode="General">
                  <c:v>0.53579175704989157</c:v>
                </c:pt>
                <c:pt idx="11" formatCode="General">
                  <c:v>0.59797541576283442</c:v>
                </c:pt>
                <c:pt idx="12" formatCode="General">
                  <c:v>0.512292118582791</c:v>
                </c:pt>
                <c:pt idx="13" formatCode="General">
                  <c:v>0.43872017353579174</c:v>
                </c:pt>
                <c:pt idx="14" formatCode="General">
                  <c:v>0.42154736080983368</c:v>
                </c:pt>
                <c:pt idx="15" formatCode="General">
                  <c:v>0.40672451193058567</c:v>
                </c:pt>
                <c:pt idx="16" formatCode="General">
                  <c:v>0.17227042660882139</c:v>
                </c:pt>
                <c:pt idx="17" formatCode="General">
                  <c:v>0.3159797541576283</c:v>
                </c:pt>
                <c:pt idx="18" formatCode="General">
                  <c:v>0.37075198843094714</c:v>
                </c:pt>
                <c:pt idx="19" formatCode="General">
                  <c:v>0.42136659436008672</c:v>
                </c:pt>
                <c:pt idx="20" formatCode="General">
                  <c:v>0.44649313087490961</c:v>
                </c:pt>
                <c:pt idx="21" formatCode="General">
                  <c:v>0.39614967462039041</c:v>
                </c:pt>
                <c:pt idx="22" formatCode="General">
                  <c:v>0.43383947939262468</c:v>
                </c:pt>
                <c:pt idx="23" formatCode="General">
                  <c:v>0.33920824295010843</c:v>
                </c:pt>
                <c:pt idx="24" formatCode="General">
                  <c:v>0.44486623282718724</c:v>
                </c:pt>
                <c:pt idx="25" formatCode="General">
                  <c:v>0.51518438177874193</c:v>
                </c:pt>
                <c:pt idx="26" formatCode="General">
                  <c:v>0.70046999276934196</c:v>
                </c:pt>
                <c:pt idx="27" formatCode="General">
                  <c:v>0.68474331164135938</c:v>
                </c:pt>
                <c:pt idx="28" formatCode="General">
                  <c:v>0.56525668835864062</c:v>
                </c:pt>
                <c:pt idx="29" formatCode="General">
                  <c:v>0.21484092552422268</c:v>
                </c:pt>
                <c:pt idx="30" formatCode="General">
                  <c:v>0.32248734634851767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92-49FD-954C-1BA92573D6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799680"/>
        <c:axId val="105801216"/>
      </c:barChart>
      <c:catAx>
        <c:axId val="105799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5801216"/>
        <c:crosses val="autoZero"/>
        <c:auto val="1"/>
        <c:lblAlgn val="ctr"/>
        <c:lblOffset val="100"/>
        <c:noMultiLvlLbl val="0"/>
      </c:catAx>
      <c:valAx>
        <c:axId val="105801216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/>
                </a:pPr>
                <a:r>
                  <a:rPr lang="en-US" b="1"/>
                  <a:t>Final Score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579968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'3_prioritization_output'!$C$50</c:f>
              <c:strCache>
                <c:ptCount val="1"/>
                <c:pt idx="0">
                  <c:v>Final Score</c:v>
                </c:pt>
              </c:strCache>
            </c:strRef>
          </c:tx>
          <c:invertIfNegative val="0"/>
          <c:cat>
            <c:strRef>
              <c:f>'3_prioritization_output'!$B$51:$B$78</c:f>
              <c:strCache>
                <c:ptCount val="28"/>
                <c:pt idx="0">
                  <c:v>NOAA lake level monitoring</c:v>
                </c:pt>
                <c:pt idx="1">
                  <c:v>USGS stream gauge monitoring</c:v>
                </c:pt>
                <c:pt idx="2">
                  <c:v>Eastern Prairie Fringed Orchid</c:v>
                </c:pt>
                <c:pt idx="3">
                  <c:v>Marshbird Survey</c:v>
                </c:pt>
                <c:pt idx="4">
                  <c:v>Waterfowl survey</c:v>
                </c:pt>
                <c:pt idx="5">
                  <c:v>Aerial Deer Survey</c:v>
                </c:pt>
                <c:pt idx="6">
                  <c:v>Wetland Vegetation Cover Survey with annual summary of mean daily Lake Erie water level/water level management.</c:v>
                </c:pt>
                <c:pt idx="7">
                  <c:v>Grassy Island ground water monitoring</c:v>
                </c:pt>
                <c:pt idx="8">
                  <c:v>Wet Prairie Monitoring</c:v>
                </c:pt>
                <c:pt idx="9">
                  <c:v>American Woodcock Survey</c:v>
                </c:pt>
                <c:pt idx="10">
                  <c:v>Shorebird Survey</c:v>
                </c:pt>
                <c:pt idx="11">
                  <c:v>Bald Eagle Monitoring</c:v>
                </c:pt>
                <c:pt idx="12">
                  <c:v>HGM</c:v>
                </c:pt>
                <c:pt idx="13">
                  <c:v>Gibraltar Wetlands Forest Invasives Inventory</c:v>
                </c:pt>
                <c:pt idx="14">
                  <c:v>Lower Great Lakes January Waterfowl Survey (as part of Mid-Winter Waterfowl Survey)</c:v>
                </c:pt>
                <c:pt idx="15">
                  <c:v>Treatment Evaluation of Phragmites, invasive cattail, reed canary grass</c:v>
                </c:pt>
                <c:pt idx="16">
                  <c:v>Humbug Marsh Deer Browse Evaluation</c:v>
                </c:pt>
                <c:pt idx="17">
                  <c:v>Forest Ecological Inventory</c:v>
                </c:pt>
                <c:pt idx="18">
                  <c:v>Phragmites Reduction: Comparison via remote-sensing of 2017 Imagery to 2009 Baseline </c:v>
                </c:pt>
                <c:pt idx="19">
                  <c:v>Coordinated Canvasback Survey</c:v>
                </c:pt>
                <c:pt idx="20">
                  <c:v>Impoundment water levels</c:v>
                </c:pt>
                <c:pt idx="21">
                  <c:v>Fish survey</c:v>
                </c:pt>
                <c:pt idx="22">
                  <c:v>Lake sturgeon </c:v>
                </c:pt>
                <c:pt idx="23">
                  <c:v>Common Tern Monitoring</c:v>
                </c:pt>
                <c:pt idx="24">
                  <c:v>Muskrat Monitoring</c:v>
                </c:pt>
                <c:pt idx="25">
                  <c:v>Fox Snake Survey</c:v>
                </c:pt>
                <c:pt idx="26">
                  <c:v>Rusty Blackbird Survey</c:v>
                </c:pt>
                <c:pt idx="27">
                  <c:v>Northern Flicker Survey</c:v>
                </c:pt>
              </c:strCache>
            </c:strRef>
          </c:cat>
          <c:val>
            <c:numRef>
              <c:f>'3_prioritization_output'!$C$51:$C$78</c:f>
              <c:numCache>
                <c:formatCode>0.000</c:formatCode>
                <c:ptCount val="28"/>
                <c:pt idx="0">
                  <c:v>0.70046999276934196</c:v>
                </c:pt>
                <c:pt idx="1">
                  <c:v>0.68474331164135938</c:v>
                </c:pt>
                <c:pt idx="2">
                  <c:v>0.59797541576283442</c:v>
                </c:pt>
                <c:pt idx="3" formatCode="General">
                  <c:v>0.59544468546637741</c:v>
                </c:pt>
                <c:pt idx="4" formatCode="General">
                  <c:v>0.58622559652928419</c:v>
                </c:pt>
                <c:pt idx="5" formatCode="General">
                  <c:v>0.56525668835864062</c:v>
                </c:pt>
                <c:pt idx="6" formatCode="General">
                  <c:v>0.53579175704989157</c:v>
                </c:pt>
                <c:pt idx="7" formatCode="General">
                  <c:v>0.51518438177874193</c:v>
                </c:pt>
                <c:pt idx="8" formatCode="General">
                  <c:v>0.512292118582791</c:v>
                </c:pt>
                <c:pt idx="9" formatCode="General">
                  <c:v>0.48879248011569054</c:v>
                </c:pt>
                <c:pt idx="10" formatCode="General">
                  <c:v>0.46113521330441071</c:v>
                </c:pt>
                <c:pt idx="11" formatCode="General">
                  <c:v>0.44649313087490961</c:v>
                </c:pt>
                <c:pt idx="12" formatCode="General">
                  <c:v>0.44486623282718724</c:v>
                </c:pt>
                <c:pt idx="13" formatCode="General">
                  <c:v>0.43872017353579174</c:v>
                </c:pt>
                <c:pt idx="14" formatCode="General">
                  <c:v>0.43383947939262468</c:v>
                </c:pt>
                <c:pt idx="15" formatCode="General">
                  <c:v>0.43022415039768613</c:v>
                </c:pt>
                <c:pt idx="16" formatCode="General">
                  <c:v>0.42154736080983368</c:v>
                </c:pt>
                <c:pt idx="17" formatCode="General">
                  <c:v>0.42136659436008672</c:v>
                </c:pt>
                <c:pt idx="18" formatCode="General">
                  <c:v>0.40672451193058567</c:v>
                </c:pt>
                <c:pt idx="19" formatCode="General">
                  <c:v>0.39614967462039041</c:v>
                </c:pt>
                <c:pt idx="20" formatCode="General">
                  <c:v>0.37075198843094714</c:v>
                </c:pt>
                <c:pt idx="21" formatCode="General">
                  <c:v>0.3694866232827187</c:v>
                </c:pt>
                <c:pt idx="22" formatCode="General">
                  <c:v>0.33920824295010843</c:v>
                </c:pt>
                <c:pt idx="23" formatCode="General">
                  <c:v>0.32248734634851767</c:v>
                </c:pt>
                <c:pt idx="24" formatCode="General">
                  <c:v>0.3159797541576283</c:v>
                </c:pt>
                <c:pt idx="25" formatCode="General">
                  <c:v>0.30892986261749816</c:v>
                </c:pt>
                <c:pt idx="26" formatCode="General">
                  <c:v>0.30694143167028198</c:v>
                </c:pt>
                <c:pt idx="27" formatCode="General">
                  <c:v>0.29067245119305857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C5-4FB8-A6DD-CA4750660F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829504"/>
        <c:axId val="105831040"/>
      </c:barChart>
      <c:catAx>
        <c:axId val="105829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3300000"/>
          <a:lstStyle/>
          <a:p>
            <a:pPr>
              <a:defRPr/>
            </a:pPr>
            <a:endParaRPr lang="en-US"/>
          </a:p>
        </c:txPr>
        <c:crossAx val="105831040"/>
        <c:crosses val="autoZero"/>
        <c:auto val="1"/>
        <c:lblAlgn val="ctr"/>
        <c:lblOffset val="100"/>
        <c:noMultiLvlLbl val="0"/>
      </c:catAx>
      <c:valAx>
        <c:axId val="10583104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05829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'annual time budget'!$A$2:$A$16</c:f>
              <c:strCache>
                <c:ptCount val="15"/>
                <c:pt idx="0">
                  <c:v>Refuge surveillance</c:v>
                </c:pt>
                <c:pt idx="1">
                  <c:v>Other duties</c:v>
                </c:pt>
                <c:pt idx="2">
                  <c:v>Safety and other training</c:v>
                </c:pt>
                <c:pt idx="3">
                  <c:v>Leave</c:v>
                </c:pt>
                <c:pt idx="4">
                  <c:v>Planning</c:v>
                </c:pt>
                <c:pt idx="5">
                  <c:v>Conservation delivery</c:v>
                </c:pt>
                <c:pt idx="6">
                  <c:v>Monitoring</c:v>
                </c:pt>
                <c:pt idx="7">
                  <c:v>Data management</c:v>
                </c:pt>
                <c:pt idx="8">
                  <c:v>Analysis and summary</c:v>
                </c:pt>
                <c:pt idx="9">
                  <c:v>WHRs</c:v>
                </c:pt>
                <c:pt idx="10">
                  <c:v>External activities</c:v>
                </c:pt>
                <c:pt idx="11">
                  <c:v>Research</c:v>
                </c:pt>
                <c:pt idx="12">
                  <c:v>Supervision</c:v>
                </c:pt>
                <c:pt idx="13">
                  <c:v>Professional development</c:v>
                </c:pt>
                <c:pt idx="14">
                  <c:v>Fund raising</c:v>
                </c:pt>
              </c:strCache>
            </c:strRef>
          </c:cat>
          <c:val>
            <c:numRef>
              <c:f>'annual time budget'!$H$2:$H$16</c:f>
              <c:numCache>
                <c:formatCode>General</c:formatCode>
                <c:ptCount val="15"/>
                <c:pt idx="0">
                  <c:v>1</c:v>
                </c:pt>
                <c:pt idx="1">
                  <c:v>24</c:v>
                </c:pt>
                <c:pt idx="2">
                  <c:v>2</c:v>
                </c:pt>
                <c:pt idx="3">
                  <c:v>6</c:v>
                </c:pt>
                <c:pt idx="4">
                  <c:v>10</c:v>
                </c:pt>
                <c:pt idx="5">
                  <c:v>31</c:v>
                </c:pt>
                <c:pt idx="6">
                  <c:v>9.5</c:v>
                </c:pt>
                <c:pt idx="7">
                  <c:v>4.5</c:v>
                </c:pt>
                <c:pt idx="8">
                  <c:v>4</c:v>
                </c:pt>
                <c:pt idx="9">
                  <c:v>0</c:v>
                </c:pt>
                <c:pt idx="10">
                  <c:v>1.4</c:v>
                </c:pt>
                <c:pt idx="11">
                  <c:v>0</c:v>
                </c:pt>
                <c:pt idx="12">
                  <c:v>4</c:v>
                </c:pt>
                <c:pt idx="13">
                  <c:v>2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22-4024-B92C-0F2D49014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28575">
              <a:noFill/>
            </a:ln>
          </c:spP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'Efficient portfolio analysis'!$H$36:$V$36</c:f>
              <c:numCache>
                <c:formatCode>0.0</c:formatCode>
                <c:ptCount val="15"/>
                <c:pt idx="0">
                  <c:v>147.69999999999999</c:v>
                </c:pt>
                <c:pt idx="1">
                  <c:v>161.19999999999999</c:v>
                </c:pt>
                <c:pt idx="2">
                  <c:v>170.2</c:v>
                </c:pt>
                <c:pt idx="3">
                  <c:v>182.7</c:v>
                </c:pt>
                <c:pt idx="4">
                  <c:v>182.7</c:v>
                </c:pt>
                <c:pt idx="5">
                  <c:v>168.7</c:v>
                </c:pt>
                <c:pt idx="6">
                  <c:v>190.2</c:v>
                </c:pt>
                <c:pt idx="7">
                  <c:v>199.2</c:v>
                </c:pt>
                <c:pt idx="8">
                  <c:v>177.5</c:v>
                </c:pt>
                <c:pt idx="9">
                  <c:v>186</c:v>
                </c:pt>
                <c:pt idx="10">
                  <c:v>192.2</c:v>
                </c:pt>
                <c:pt idx="11">
                  <c:v>213.2</c:v>
                </c:pt>
                <c:pt idx="12">
                  <c:v>410</c:v>
                </c:pt>
                <c:pt idx="13">
                  <c:v>141.75</c:v>
                </c:pt>
                <c:pt idx="14">
                  <c:v>210.75</c:v>
                </c:pt>
              </c:numCache>
            </c:numRef>
          </c:xVal>
          <c:yVal>
            <c:numRef>
              <c:f>'Efficient portfolio analysis'!$H$35:$V$35</c:f>
              <c:numCache>
                <c:formatCode>0.00</c:formatCode>
                <c:ptCount val="15"/>
                <c:pt idx="0">
                  <c:v>4.5589298626174974</c:v>
                </c:pt>
                <c:pt idx="1">
                  <c:v>4.8749096167751258</c:v>
                </c:pt>
                <c:pt idx="2">
                  <c:v>2.5639913232104119</c:v>
                </c:pt>
                <c:pt idx="3">
                  <c:v>4.7384309472161954</c:v>
                </c:pt>
                <c:pt idx="4">
                  <c:v>4.7384309472161954</c:v>
                </c:pt>
                <c:pt idx="5">
                  <c:v>4.8723788864786695</c:v>
                </c:pt>
                <c:pt idx="6">
                  <c:v>4.0341648590021686</c:v>
                </c:pt>
                <c:pt idx="7">
                  <c:v>3.5101229211858276</c:v>
                </c:pt>
                <c:pt idx="8">
                  <c:v>1.9736080983369484</c:v>
                </c:pt>
                <c:pt idx="9">
                  <c:v>2.2369848156182215</c:v>
                </c:pt>
                <c:pt idx="10">
                  <c:v>1.808749096167751</c:v>
                </c:pt>
                <c:pt idx="11">
                  <c:v>2.1247288503253796</c:v>
                </c:pt>
                <c:pt idx="12">
                  <c:v>4.225777295733911</c:v>
                </c:pt>
                <c:pt idx="13">
                  <c:v>4.2889551699204631</c:v>
                </c:pt>
                <c:pt idx="14">
                  <c:v>2.7514461315979752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34-49E1-9049-708B49C05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180800"/>
        <c:axId val="107182720"/>
      </c:scatterChart>
      <c:valAx>
        <c:axId val="10718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Cost (weeks over 15 years)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07182720"/>
        <c:crosses val="autoZero"/>
        <c:crossBetween val="midCat"/>
      </c:valAx>
      <c:valAx>
        <c:axId val="107182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Portfolio Total Benefit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18080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Chart9"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381001</xdr:colOff>
      <xdr:row>1</xdr:row>
      <xdr:rowOff>47625</xdr:rowOff>
    </xdr:from>
    <xdr:to>
      <xdr:col>9</xdr:col>
      <xdr:colOff>371475</xdr:colOff>
      <xdr:row>23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50</xdr:row>
      <xdr:rowOff>0</xdr:rowOff>
    </xdr:from>
    <xdr:to>
      <xdr:col>20</xdr:col>
      <xdr:colOff>205740</xdr:colOff>
      <xdr:row>70</xdr:row>
      <xdr:rowOff>93345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30480</xdr:colOff>
      <xdr:row>1</xdr:row>
      <xdr:rowOff>11430</xdr:rowOff>
    </xdr:from>
    <xdr:to>
      <xdr:col>18</xdr:col>
      <xdr:colOff>335280</xdr:colOff>
      <xdr:row>16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norwood/Downloads/IMP_time_budget_DetroitRiver_24Feb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nual time budget"/>
      <sheetName val="surveys"/>
      <sheetName val="PreliminarySurveysList-Step7"/>
    </sheetNames>
    <sheetDataSet>
      <sheetData sheetId="0">
        <row r="20">
          <cell r="O20">
            <v>11.44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A00-000000000000}" autoFormatId="16" applyNumberFormats="0" applyBorderFormats="0" applyFontFormats="1" applyPatternFormats="1" applyAlignmentFormats="0" applyWidthHeightFormats="0">
  <queryTableRefresh nextId="41">
    <queryTableFields count="40">
      <queryTableField id="1" name="Srvy_ID" tableColumnId="41"/>
      <queryTableField id="2" name="SID" tableColumnId="42"/>
      <queryTableField id="3" name="SEQ_ID" tableColumnId="43"/>
      <queryTableField id="4" name="OrgCode" tableColumnId="44"/>
      <queryTableField id="5" name="Station" tableColumnId="45"/>
      <queryTableField id="6" name="Srvy_Name" tableColumnId="46"/>
      <queryTableField id="7" name="Status" tableColumnId="47"/>
      <queryTableField id="8" name="Type" tableColumnId="48"/>
      <queryTableField id="9" name="Start_YR" tableColumnId="49"/>
      <queryTableField id="10" name="End_YR" tableColumnId="50"/>
      <queryTableField id="11" name="ActiveYRS" tableColumnId="51"/>
      <queryTableField id="12" name="Approved" tableColumnId="52"/>
      <queryTableField id="13" name="Rank" tableColumnId="53"/>
      <queryTableField id="14" name="Justify" tableColumnId="54"/>
      <queryTableField id="15" name="Timing" tableColumnId="55"/>
      <queryTableField id="16" name="Frequency" tableColumnId="56"/>
      <queryTableField id="17" name="GeoExtent" tableColumnId="57"/>
      <queryTableField id="18" name="Protocol" tableColumnId="58"/>
      <queryTableField id="19" name="PrtCite" tableColumnId="59"/>
      <queryTableField id="20" name="Analysis" tableColumnId="60"/>
      <queryTableField id="21" name="Lead_Org" tableColumnId="61"/>
      <queryTableField id="22" name="Partners" tableColumnId="62"/>
      <queryTableField id="23" name="DataFormat" tableColumnId="63"/>
      <queryTableField id="24" name="DataPub" tableColumnId="64"/>
      <queryTableField id="25" name="S_Obj" tableColumnId="65"/>
      <queryTableField id="26" name="Summary" tableColumnId="66"/>
      <queryTableField id="27" name="PubCite" tableColumnId="67"/>
      <queryTableField id="28" name="TEspp" tableColumnId="68"/>
      <queryTableField id="29" name="Population" tableColumnId="69"/>
      <queryTableField id="30" name="AnalCon" tableColumnId="70"/>
      <queryTableField id="31" name="Management" tableColumnId="71"/>
      <queryTableField id="32" name="CiteTier" tableColumnId="72"/>
      <queryTableField id="33" name="Reports" tableColumnId="73"/>
      <queryTableField id="34" name="Q_Obj" tableColumnId="74"/>
      <queryTableField id="35" name="Methods" tableColumnId="75"/>
      <queryTableField id="36" name="MgmtUnits" tableColumnId="76"/>
      <queryTableField id="37" name="Lead_Name" tableColumnId="77"/>
      <queryTableField id="38" name="DataAvail" tableColumnId="78"/>
      <queryTableField id="39" name="DataCon" tableColumnId="79"/>
      <queryTableField id="40" name="Comments" tableColumnId="8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IMR_SURVEYS" displayName="PRIMR_SURVEYS" ref="A1:AN2" tableType="queryTable" insertRow="1" totalsRowShown="0">
  <autoFilter ref="A1:AN2" xr:uid="{00000000-0009-0000-0100-000001000000}"/>
  <tableColumns count="40">
    <tableColumn id="41" xr3:uid="{00000000-0010-0000-0000-000029000000}" uniqueName="41" name="Srvy_ID" queryTableFieldId="1"/>
    <tableColumn id="42" xr3:uid="{00000000-0010-0000-0000-00002A000000}" uniqueName="42" name="SID" queryTableFieldId="2"/>
    <tableColumn id="43" xr3:uid="{00000000-0010-0000-0000-00002B000000}" uniqueName="43" name="SEQ_ID" queryTableFieldId="3"/>
    <tableColumn id="44" xr3:uid="{00000000-0010-0000-0000-00002C000000}" uniqueName="44" name="OrgCode" queryTableFieldId="4"/>
    <tableColumn id="45" xr3:uid="{00000000-0010-0000-0000-00002D000000}" uniqueName="45" name="Station" queryTableFieldId="5"/>
    <tableColumn id="46" xr3:uid="{00000000-0010-0000-0000-00002E000000}" uniqueName="46" name="Srvy_Name" queryTableFieldId="6"/>
    <tableColumn id="47" xr3:uid="{00000000-0010-0000-0000-00002F000000}" uniqueName="47" name="Status" queryTableFieldId="7"/>
    <tableColumn id="48" xr3:uid="{00000000-0010-0000-0000-000030000000}" uniqueName="48" name="Type" queryTableFieldId="8"/>
    <tableColumn id="49" xr3:uid="{00000000-0010-0000-0000-000031000000}" uniqueName="49" name="Start_YR" queryTableFieldId="9"/>
    <tableColumn id="50" xr3:uid="{00000000-0010-0000-0000-000032000000}" uniqueName="50" name="End_YR" queryTableFieldId="10"/>
    <tableColumn id="51" xr3:uid="{00000000-0010-0000-0000-000033000000}" uniqueName="51" name="ActiveYRS" queryTableFieldId="11"/>
    <tableColumn id="52" xr3:uid="{00000000-0010-0000-0000-000034000000}" uniqueName="52" name="Approved" queryTableFieldId="12"/>
    <tableColumn id="53" xr3:uid="{00000000-0010-0000-0000-000035000000}" uniqueName="53" name="Rank" queryTableFieldId="13"/>
    <tableColumn id="54" xr3:uid="{00000000-0010-0000-0000-000036000000}" uniqueName="54" name="Justify" queryTableFieldId="14"/>
    <tableColumn id="55" xr3:uid="{00000000-0010-0000-0000-000037000000}" uniqueName="55" name="Timing" queryTableFieldId="15"/>
    <tableColumn id="56" xr3:uid="{00000000-0010-0000-0000-000038000000}" uniqueName="56" name="Frequency" queryTableFieldId="16"/>
    <tableColumn id="57" xr3:uid="{00000000-0010-0000-0000-000039000000}" uniqueName="57" name="GeoExtent" queryTableFieldId="17"/>
    <tableColumn id="58" xr3:uid="{00000000-0010-0000-0000-00003A000000}" uniqueName="58" name="Protocol" queryTableFieldId="18"/>
    <tableColumn id="59" xr3:uid="{00000000-0010-0000-0000-00003B000000}" uniqueName="59" name="PrtCite" queryTableFieldId="19"/>
    <tableColumn id="60" xr3:uid="{00000000-0010-0000-0000-00003C000000}" uniqueName="60" name="Analysis" queryTableFieldId="20"/>
    <tableColumn id="61" xr3:uid="{00000000-0010-0000-0000-00003D000000}" uniqueName="61" name="Lead_Org" queryTableFieldId="21"/>
    <tableColumn id="62" xr3:uid="{00000000-0010-0000-0000-00003E000000}" uniqueName="62" name="Partners" queryTableFieldId="22"/>
    <tableColumn id="63" xr3:uid="{00000000-0010-0000-0000-00003F000000}" uniqueName="63" name="DataFormat" queryTableFieldId="23"/>
    <tableColumn id="64" xr3:uid="{00000000-0010-0000-0000-000040000000}" uniqueName="64" name="DataPub" queryTableFieldId="24"/>
    <tableColumn id="65" xr3:uid="{00000000-0010-0000-0000-000041000000}" uniqueName="65" name="S_Obj" queryTableFieldId="25"/>
    <tableColumn id="66" xr3:uid="{00000000-0010-0000-0000-000042000000}" uniqueName="66" name="Summary" queryTableFieldId="26"/>
    <tableColumn id="67" xr3:uid="{00000000-0010-0000-0000-000043000000}" uniqueName="67" name="PubCite" queryTableFieldId="27"/>
    <tableColumn id="68" xr3:uid="{00000000-0010-0000-0000-000044000000}" uniqueName="68" name="TEspp" queryTableFieldId="28"/>
    <tableColumn id="69" xr3:uid="{00000000-0010-0000-0000-000045000000}" uniqueName="69" name="Population" queryTableFieldId="29"/>
    <tableColumn id="70" xr3:uid="{00000000-0010-0000-0000-000046000000}" uniqueName="70" name="AnalCon" queryTableFieldId="30"/>
    <tableColumn id="71" xr3:uid="{00000000-0010-0000-0000-000047000000}" uniqueName="71" name="Management" queryTableFieldId="31"/>
    <tableColumn id="72" xr3:uid="{00000000-0010-0000-0000-000048000000}" uniqueName="72" name="CiteTier" queryTableFieldId="32"/>
    <tableColumn id="73" xr3:uid="{00000000-0010-0000-0000-000049000000}" uniqueName="73" name="Reports" queryTableFieldId="33"/>
    <tableColumn id="74" xr3:uid="{00000000-0010-0000-0000-00004A000000}" uniqueName="74" name="Q_Obj" queryTableFieldId="34"/>
    <tableColumn id="75" xr3:uid="{00000000-0010-0000-0000-00004B000000}" uniqueName="75" name="Methods" queryTableFieldId="35"/>
    <tableColumn id="76" xr3:uid="{00000000-0010-0000-0000-00004C000000}" uniqueName="76" name="MgmtUnits" queryTableFieldId="36"/>
    <tableColumn id="77" xr3:uid="{00000000-0010-0000-0000-00004D000000}" uniqueName="77" name="Lead_Name" queryTableFieldId="37"/>
    <tableColumn id="78" xr3:uid="{00000000-0010-0000-0000-00004E000000}" uniqueName="78" name="DataAvail" queryTableFieldId="38"/>
    <tableColumn id="79" xr3:uid="{00000000-0010-0000-0000-00004F000000}" uniqueName="79" name="DataCon" queryTableFieldId="39"/>
    <tableColumn id="80" xr3:uid="{00000000-0010-0000-0000-000050000000}" uniqueName="80" name="Comments" queryTableFieldId="4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5"/>
  <sheetViews>
    <sheetView workbookViewId="0">
      <selection activeCell="C39" sqref="C39"/>
    </sheetView>
  </sheetViews>
  <sheetFormatPr defaultRowHeight="12.75" x14ac:dyDescent="0.35"/>
  <cols>
    <col min="2" max="2" width="57.1328125" customWidth="1"/>
    <col min="3" max="3" width="19.1328125" style="72" customWidth="1"/>
    <col min="4" max="4" width="14.265625" customWidth="1"/>
    <col min="5" max="5" width="14" customWidth="1"/>
    <col min="6" max="6" width="17.86328125" customWidth="1"/>
    <col min="7" max="7" width="18.86328125" customWidth="1"/>
    <col min="8" max="8" width="19.265625" customWidth="1"/>
    <col min="9" max="9" width="11" customWidth="1"/>
    <col min="10" max="10" width="17.86328125" customWidth="1"/>
  </cols>
  <sheetData>
    <row r="1" spans="1:23" ht="13.15" x14ac:dyDescent="0.4">
      <c r="A1" s="15" t="s">
        <v>0</v>
      </c>
      <c r="B1" s="73"/>
      <c r="C1" s="73"/>
      <c r="D1" s="16"/>
      <c r="E1" s="16"/>
      <c r="F1" s="16"/>
      <c r="G1" s="16"/>
      <c r="H1" s="16"/>
      <c r="I1" s="16"/>
      <c r="J1" s="17"/>
      <c r="K1" s="18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</row>
    <row r="2" spans="1:23" x14ac:dyDescent="0.35">
      <c r="A2" s="22" t="s">
        <v>1</v>
      </c>
      <c r="B2" s="74"/>
      <c r="C2" s="74"/>
      <c r="D2" s="23"/>
      <c r="E2" s="23"/>
      <c r="F2" s="23"/>
      <c r="G2" s="23"/>
      <c r="H2" s="23"/>
      <c r="I2" s="24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</row>
    <row r="3" spans="1:23" x14ac:dyDescent="0.35">
      <c r="A3" s="69" t="s">
        <v>2</v>
      </c>
      <c r="B3" s="75"/>
      <c r="C3" s="75"/>
      <c r="D3" s="71"/>
      <c r="E3" s="71"/>
      <c r="F3" s="71"/>
      <c r="G3" s="71"/>
      <c r="H3" s="71"/>
      <c r="I3" s="25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</row>
    <row r="4" spans="1:23" ht="13.15" x14ac:dyDescent="0.4">
      <c r="A4" s="26" t="s">
        <v>3</v>
      </c>
      <c r="B4" s="74"/>
      <c r="C4" s="74"/>
      <c r="D4" s="23"/>
      <c r="E4" s="23"/>
      <c r="F4" s="23"/>
      <c r="G4" s="23"/>
      <c r="H4" s="23"/>
      <c r="I4" s="24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</row>
    <row r="5" spans="1:23" x14ac:dyDescent="0.35">
      <c r="A5" s="36">
        <v>1</v>
      </c>
      <c r="B5" s="76" t="s">
        <v>4</v>
      </c>
      <c r="C5" s="76"/>
      <c r="D5" s="37"/>
      <c r="E5" s="37"/>
      <c r="F5" s="37"/>
      <c r="G5" s="37"/>
      <c r="H5" s="37"/>
      <c r="I5" s="38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</row>
    <row r="6" spans="1:23" x14ac:dyDescent="0.35">
      <c r="A6" s="36"/>
      <c r="B6" s="76" t="s">
        <v>5</v>
      </c>
      <c r="C6" s="76"/>
      <c r="D6" s="37"/>
      <c r="E6" s="37"/>
      <c r="F6" s="37"/>
      <c r="G6" s="37"/>
      <c r="H6" s="37"/>
      <c r="I6" s="38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</row>
    <row r="7" spans="1:23" ht="13.5" customHeight="1" x14ac:dyDescent="0.35">
      <c r="A7" s="39">
        <v>2</v>
      </c>
      <c r="B7" s="43" t="s">
        <v>6</v>
      </c>
      <c r="C7" s="43"/>
      <c r="D7" s="40"/>
      <c r="E7" s="40"/>
      <c r="F7" s="40"/>
      <c r="G7" s="40"/>
      <c r="H7" s="40"/>
      <c r="I7" s="41"/>
      <c r="J7" s="71"/>
      <c r="K7" s="71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</row>
    <row r="8" spans="1:23" x14ac:dyDescent="0.35">
      <c r="A8" s="39"/>
      <c r="B8" s="77" t="s">
        <v>7</v>
      </c>
      <c r="C8" s="77"/>
      <c r="D8" s="42"/>
      <c r="E8" s="42"/>
      <c r="F8" s="42"/>
      <c r="G8" s="42"/>
      <c r="H8" s="42"/>
      <c r="I8" s="41"/>
      <c r="J8" s="71"/>
      <c r="K8" s="71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</row>
    <row r="9" spans="1:23" ht="13.5" customHeight="1" x14ac:dyDescent="0.35">
      <c r="A9" s="42"/>
      <c r="B9" s="77" t="s">
        <v>8</v>
      </c>
      <c r="C9" s="77"/>
      <c r="D9" s="42"/>
      <c r="E9" s="42"/>
      <c r="F9" s="42"/>
      <c r="G9" s="42"/>
      <c r="H9" s="42"/>
      <c r="I9" s="41"/>
      <c r="J9" s="71"/>
      <c r="K9" s="71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</row>
    <row r="10" spans="1:23" ht="13.5" customHeight="1" x14ac:dyDescent="0.35">
      <c r="A10" s="42"/>
      <c r="B10" s="77" t="s">
        <v>9</v>
      </c>
      <c r="C10" s="77"/>
      <c r="D10" s="42"/>
      <c r="E10" s="42"/>
      <c r="F10" s="42"/>
      <c r="G10" s="42"/>
      <c r="H10" s="42"/>
      <c r="I10" s="41"/>
      <c r="J10" s="71"/>
      <c r="K10" s="71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</row>
    <row r="11" spans="1:23" s="70" customFormat="1" ht="13.5" customHeight="1" x14ac:dyDescent="0.35">
      <c r="A11" s="78">
        <v>3</v>
      </c>
      <c r="B11" s="79" t="s">
        <v>10</v>
      </c>
      <c r="C11" s="79"/>
      <c r="D11" s="79"/>
      <c r="E11" s="79"/>
      <c r="F11" s="79"/>
      <c r="G11" s="79"/>
      <c r="H11" s="79"/>
      <c r="I11" s="80"/>
      <c r="J11" s="71"/>
      <c r="K11" s="71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</row>
    <row r="12" spans="1:23" s="72" customFormat="1" ht="13.5" customHeight="1" x14ac:dyDescent="0.35">
      <c r="A12" s="78"/>
      <c r="B12" s="79" t="s">
        <v>11</v>
      </c>
      <c r="C12" s="79"/>
      <c r="D12" s="79"/>
      <c r="E12" s="79"/>
      <c r="F12" s="79"/>
      <c r="G12" s="79"/>
      <c r="H12" s="79"/>
      <c r="I12" s="80"/>
      <c r="J12" s="71"/>
      <c r="K12" s="71"/>
    </row>
    <row r="13" spans="1:23" s="72" customFormat="1" ht="13.5" customHeight="1" x14ac:dyDescent="0.35">
      <c r="A13" s="78"/>
      <c r="B13" s="79" t="s">
        <v>12</v>
      </c>
      <c r="C13" s="79"/>
      <c r="D13" s="79"/>
      <c r="E13" s="79"/>
      <c r="F13" s="79"/>
      <c r="G13" s="79"/>
      <c r="H13" s="79"/>
      <c r="I13" s="80"/>
      <c r="J13" s="71"/>
      <c r="K13" s="71"/>
    </row>
    <row r="14" spans="1:23" s="70" customFormat="1" ht="13.5" customHeight="1" x14ac:dyDescent="0.35">
      <c r="A14" s="81"/>
      <c r="B14" s="132" t="s">
        <v>13</v>
      </c>
      <c r="C14" s="82"/>
      <c r="D14" s="82"/>
      <c r="E14" s="82"/>
      <c r="F14" s="82"/>
      <c r="G14" s="82"/>
      <c r="H14" s="82"/>
      <c r="I14" s="83"/>
      <c r="J14" s="71"/>
      <c r="K14" s="71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</row>
    <row r="15" spans="1:23" ht="13.15" thickBot="1" x14ac:dyDescent="0.4">
      <c r="A15" s="72"/>
      <c r="B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</row>
    <row r="16" spans="1:23" ht="13.15" x14ac:dyDescent="0.4">
      <c r="A16" s="320" t="s">
        <v>14</v>
      </c>
      <c r="B16" s="321"/>
      <c r="C16" s="321"/>
      <c r="D16" s="88">
        <v>1</v>
      </c>
      <c r="E16" s="89">
        <v>2</v>
      </c>
      <c r="F16" s="90">
        <v>3</v>
      </c>
      <c r="G16" s="128" t="s">
        <v>15</v>
      </c>
      <c r="H16" s="33"/>
      <c r="I16" s="33"/>
      <c r="J16" s="33"/>
      <c r="K16" s="33"/>
      <c r="L16" s="33"/>
      <c r="M16" s="33"/>
      <c r="N16" s="33"/>
      <c r="O16" s="33"/>
      <c r="P16" s="33"/>
      <c r="Q16" s="1"/>
      <c r="R16" s="11"/>
      <c r="S16" s="72"/>
      <c r="T16" s="72"/>
      <c r="U16" s="72"/>
      <c r="V16" s="72"/>
      <c r="W16" s="72"/>
    </row>
    <row r="17" spans="1:22" ht="13.15" x14ac:dyDescent="0.4">
      <c r="A17" s="340" t="s">
        <v>16</v>
      </c>
      <c r="B17" s="341"/>
      <c r="C17" s="105" t="s">
        <v>17</v>
      </c>
      <c r="D17" s="87" t="s">
        <v>18</v>
      </c>
      <c r="E17" s="86" t="s">
        <v>19</v>
      </c>
      <c r="F17" s="91" t="s">
        <v>20</v>
      </c>
      <c r="G17" s="129" t="s">
        <v>21</v>
      </c>
      <c r="H17" s="21"/>
      <c r="I17" s="21"/>
      <c r="J17" s="21"/>
      <c r="K17" s="21"/>
      <c r="L17" s="21"/>
      <c r="M17" s="21"/>
      <c r="N17" s="21"/>
      <c r="O17" s="21"/>
      <c r="P17" s="21"/>
      <c r="Q17" s="1"/>
      <c r="R17" s="11"/>
      <c r="S17" s="72"/>
      <c r="T17" s="72"/>
      <c r="U17" s="72"/>
      <c r="V17" s="72"/>
    </row>
    <row r="18" spans="1:22" x14ac:dyDescent="0.35">
      <c r="A18" s="92">
        <v>1</v>
      </c>
      <c r="B18" s="137" t="s">
        <v>22</v>
      </c>
      <c r="C18" s="96" t="s">
        <v>23</v>
      </c>
      <c r="D18" s="84"/>
      <c r="E18" s="85">
        <v>95</v>
      </c>
      <c r="F18" s="100">
        <f>'1_weight_criteria'!E18/SUM('1_weight_criteria'!$E$18:$E$34)</f>
        <v>0.10303687635574837</v>
      </c>
      <c r="G18" s="154">
        <f t="shared" ref="G18:G34" si="0">F18-F$35</f>
        <v>4.421334694398367E-2</v>
      </c>
      <c r="H18" s="30"/>
      <c r="I18" s="30"/>
      <c r="J18" s="30"/>
      <c r="K18" s="30"/>
      <c r="L18" s="30"/>
      <c r="M18" s="30"/>
      <c r="N18" s="30"/>
      <c r="O18" s="30"/>
      <c r="P18" s="30"/>
      <c r="Q18" s="1"/>
      <c r="R18" s="11"/>
      <c r="S18" s="72"/>
      <c r="T18" s="72"/>
      <c r="U18" s="72"/>
      <c r="V18" s="72"/>
    </row>
    <row r="19" spans="1:22" x14ac:dyDescent="0.35">
      <c r="A19" s="92">
        <v>2</v>
      </c>
      <c r="B19" s="137" t="s">
        <v>24</v>
      </c>
      <c r="C19" s="96" t="s">
        <v>23</v>
      </c>
      <c r="D19" s="84"/>
      <c r="E19" s="85">
        <v>50</v>
      </c>
      <c r="F19" s="100">
        <f>'1_weight_criteria'!E19/SUM('1_weight_criteria'!$E$18:$E$34)</f>
        <v>5.4229934924078092E-2</v>
      </c>
      <c r="G19" s="154">
        <f t="shared" si="0"/>
        <v>-4.5935944876866128E-3</v>
      </c>
      <c r="H19" s="30"/>
      <c r="I19" s="30"/>
      <c r="J19" s="30"/>
      <c r="K19" s="30"/>
      <c r="L19" s="30"/>
      <c r="M19" s="30"/>
      <c r="N19" s="30"/>
      <c r="O19" s="30"/>
      <c r="P19" s="30"/>
      <c r="Q19" s="1"/>
      <c r="R19" s="11"/>
      <c r="S19" s="72"/>
      <c r="T19" s="72"/>
      <c r="U19" s="72"/>
      <c r="V19" s="72"/>
    </row>
    <row r="20" spans="1:22" x14ac:dyDescent="0.35">
      <c r="A20" s="92">
        <v>3</v>
      </c>
      <c r="B20" s="137" t="s">
        <v>25</v>
      </c>
      <c r="C20" s="96" t="s">
        <v>23</v>
      </c>
      <c r="D20" s="84"/>
      <c r="E20" s="85">
        <v>67</v>
      </c>
      <c r="F20" s="100">
        <f>'1_weight_criteria'!E20/SUM('1_weight_criteria'!$E$18:$E$34)</f>
        <v>7.2668112798264642E-2</v>
      </c>
      <c r="G20" s="154">
        <f t="shared" si="0"/>
        <v>1.3844583386499937E-2</v>
      </c>
      <c r="H20" s="30"/>
      <c r="I20" s="30"/>
      <c r="J20" s="30"/>
      <c r="K20" s="30"/>
      <c r="L20" s="30"/>
      <c r="M20" s="30"/>
      <c r="N20" s="30"/>
      <c r="O20" s="30"/>
      <c r="P20" s="30"/>
      <c r="Q20" s="1"/>
      <c r="R20" s="11"/>
      <c r="S20" s="72"/>
      <c r="T20" s="72"/>
      <c r="U20" s="72"/>
      <c r="V20" s="72"/>
    </row>
    <row r="21" spans="1:22" x14ac:dyDescent="0.35">
      <c r="A21" s="92">
        <v>4</v>
      </c>
      <c r="B21" s="137" t="s">
        <v>26</v>
      </c>
      <c r="C21" s="96" t="s">
        <v>23</v>
      </c>
      <c r="D21" s="84"/>
      <c r="E21" s="85">
        <v>32.5</v>
      </c>
      <c r="F21" s="100">
        <f>'1_weight_criteria'!E21/SUM('1_weight_criteria'!$E$18:$E$34)</f>
        <v>3.5249457700650758E-2</v>
      </c>
      <c r="G21" s="154">
        <f t="shared" si="0"/>
        <v>-2.3574071711113948E-2</v>
      </c>
      <c r="H21" s="30"/>
      <c r="I21" s="30"/>
      <c r="J21" s="30"/>
      <c r="K21" s="30"/>
      <c r="L21" s="30"/>
      <c r="M21" s="30"/>
      <c r="N21" s="30"/>
      <c r="O21" s="30"/>
      <c r="P21" s="30"/>
      <c r="Q21" s="1"/>
      <c r="R21" s="11"/>
      <c r="S21" s="72"/>
      <c r="T21" s="72"/>
      <c r="U21" s="72"/>
      <c r="V21" s="72"/>
    </row>
    <row r="22" spans="1:22" x14ac:dyDescent="0.35">
      <c r="A22" s="92">
        <v>5</v>
      </c>
      <c r="B22" s="137" t="s">
        <v>27</v>
      </c>
      <c r="C22" s="137" t="s">
        <v>28</v>
      </c>
      <c r="D22" s="84"/>
      <c r="E22" s="85">
        <v>44</v>
      </c>
      <c r="F22" s="100">
        <f>'1_weight_criteria'!E22/SUM('1_weight_criteria'!$E$18:$E$34)</f>
        <v>4.7722342733188719E-2</v>
      </c>
      <c r="G22" s="154">
        <f t="shared" si="0"/>
        <v>-1.1101186678575986E-2</v>
      </c>
      <c r="H22" s="30"/>
      <c r="I22" s="30"/>
      <c r="J22" s="30"/>
      <c r="K22" s="30"/>
      <c r="L22" s="30"/>
      <c r="M22" s="30"/>
      <c r="N22" s="30"/>
      <c r="O22" s="30"/>
      <c r="P22" s="30"/>
      <c r="Q22" s="1"/>
      <c r="R22" s="11"/>
      <c r="S22" s="72"/>
      <c r="T22" s="72"/>
      <c r="U22" s="72"/>
      <c r="V22" s="72"/>
    </row>
    <row r="23" spans="1:22" s="72" customFormat="1" x14ac:dyDescent="0.35">
      <c r="A23" s="92">
        <v>6</v>
      </c>
      <c r="B23" s="137" t="s">
        <v>29</v>
      </c>
      <c r="C23" s="137" t="s">
        <v>23</v>
      </c>
      <c r="D23" s="84"/>
      <c r="E23" s="85">
        <v>57.5</v>
      </c>
      <c r="F23" s="100">
        <f>'1_weight_criteria'!E23/SUM('1_weight_criteria'!$E$18:$E$34)</f>
        <v>6.2364425162689807E-2</v>
      </c>
      <c r="G23" s="154">
        <f t="shared" si="0"/>
        <v>3.5408957509251021E-3</v>
      </c>
      <c r="H23" s="30"/>
      <c r="I23" s="30"/>
      <c r="J23" s="30"/>
      <c r="K23" s="30"/>
      <c r="L23" s="30"/>
      <c r="M23" s="30"/>
      <c r="N23" s="30"/>
      <c r="O23" s="30"/>
      <c r="P23" s="30"/>
      <c r="Q23" s="1"/>
      <c r="R23" s="11"/>
    </row>
    <row r="24" spans="1:22" x14ac:dyDescent="0.35">
      <c r="A24" s="92">
        <v>7</v>
      </c>
      <c r="B24" s="137" t="s">
        <v>30</v>
      </c>
      <c r="C24" s="137" t="s">
        <v>28</v>
      </c>
      <c r="D24" s="84"/>
      <c r="E24" s="85">
        <v>40</v>
      </c>
      <c r="F24" s="100">
        <f>'1_weight_criteria'!E24/SUM('1_weight_criteria'!$E$18:$E$34)</f>
        <v>4.3383947939262472E-2</v>
      </c>
      <c r="G24" s="154">
        <f t="shared" si="0"/>
        <v>-1.5439581472502233E-2</v>
      </c>
      <c r="H24" s="30"/>
      <c r="I24" s="30"/>
      <c r="J24" s="30"/>
      <c r="K24" s="30"/>
      <c r="L24" s="30"/>
      <c r="M24" s="30"/>
      <c r="N24" s="30"/>
      <c r="O24" s="30"/>
      <c r="P24" s="30"/>
      <c r="Q24" s="1"/>
      <c r="R24" s="11"/>
      <c r="S24" s="72"/>
      <c r="T24" s="72"/>
      <c r="U24" s="72"/>
      <c r="V24" s="72"/>
    </row>
    <row r="25" spans="1:22" x14ac:dyDescent="0.35">
      <c r="A25" s="92">
        <v>8</v>
      </c>
      <c r="B25" s="137" t="s">
        <v>31</v>
      </c>
      <c r="C25" s="137" t="s">
        <v>28</v>
      </c>
      <c r="D25" s="84"/>
      <c r="E25" s="85">
        <v>67</v>
      </c>
      <c r="F25" s="100">
        <f>'1_weight_criteria'!E25/SUM('1_weight_criteria'!$E$18:$E$34)</f>
        <v>7.2668112798264642E-2</v>
      </c>
      <c r="G25" s="154">
        <f t="shared" si="0"/>
        <v>1.3844583386499937E-2</v>
      </c>
      <c r="H25" s="30"/>
      <c r="I25" s="30"/>
      <c r="J25" s="30"/>
      <c r="K25" s="30"/>
      <c r="L25" s="30"/>
      <c r="M25" s="30"/>
      <c r="N25" s="30"/>
      <c r="O25" s="30"/>
      <c r="P25" s="30"/>
      <c r="Q25" s="1"/>
      <c r="R25" s="11"/>
      <c r="S25" s="72"/>
      <c r="T25" s="72"/>
      <c r="U25" s="72"/>
      <c r="V25" s="72"/>
    </row>
    <row r="26" spans="1:22" x14ac:dyDescent="0.35">
      <c r="A26" s="92">
        <v>9</v>
      </c>
      <c r="B26" s="137" t="s">
        <v>32</v>
      </c>
      <c r="C26" s="137" t="s">
        <v>28</v>
      </c>
      <c r="D26" s="84"/>
      <c r="E26" s="85">
        <v>44</v>
      </c>
      <c r="F26" s="100">
        <f>'1_weight_criteria'!E26/SUM('1_weight_criteria'!$E$18:$E$34)</f>
        <v>4.7722342733188719E-2</v>
      </c>
      <c r="G26" s="154">
        <f t="shared" si="0"/>
        <v>-1.1101186678575986E-2</v>
      </c>
      <c r="H26" s="30"/>
      <c r="I26" s="30"/>
      <c r="J26" s="30"/>
      <c r="K26" s="30"/>
      <c r="L26" s="30"/>
      <c r="M26" s="30"/>
      <c r="N26" s="30"/>
      <c r="O26" s="30"/>
      <c r="P26" s="30"/>
      <c r="Q26" s="1"/>
      <c r="R26" s="11"/>
      <c r="S26" s="72"/>
      <c r="T26" s="72"/>
      <c r="U26" s="72"/>
      <c r="V26" s="72"/>
    </row>
    <row r="27" spans="1:22" x14ac:dyDescent="0.35">
      <c r="A27" s="92">
        <v>10</v>
      </c>
      <c r="B27" s="137" t="s">
        <v>33</v>
      </c>
      <c r="C27" s="137" t="s">
        <v>28</v>
      </c>
      <c r="D27" s="84"/>
      <c r="E27" s="85">
        <v>52.5</v>
      </c>
      <c r="F27" s="100">
        <f>'1_weight_criteria'!E27/SUM('1_weight_criteria'!$E$18:$E$34)</f>
        <v>5.6941431670281997E-2</v>
      </c>
      <c r="G27" s="154">
        <f t="shared" si="0"/>
        <v>-1.8820977414827078E-3</v>
      </c>
      <c r="H27" s="30"/>
      <c r="I27" s="30"/>
      <c r="J27" s="30"/>
      <c r="K27" s="30"/>
      <c r="L27" s="30"/>
      <c r="M27" s="30"/>
      <c r="N27" s="30"/>
      <c r="O27" s="30"/>
      <c r="P27" s="30"/>
      <c r="Q27" s="1"/>
      <c r="R27" s="11"/>
      <c r="S27" s="72"/>
      <c r="T27" s="72"/>
      <c r="U27" s="72"/>
      <c r="V27" s="72"/>
    </row>
    <row r="28" spans="1:22" x14ac:dyDescent="0.35">
      <c r="A28" s="92">
        <v>11</v>
      </c>
      <c r="B28" s="137" t="s">
        <v>34</v>
      </c>
      <c r="C28" s="96" t="s">
        <v>35</v>
      </c>
      <c r="D28" s="84"/>
      <c r="E28" s="85">
        <v>57.5</v>
      </c>
      <c r="F28" s="100">
        <f>'1_weight_criteria'!E28/SUM('1_weight_criteria'!$E$18:$E$34)</f>
        <v>6.2364425162689807E-2</v>
      </c>
      <c r="G28" s="154">
        <f t="shared" si="0"/>
        <v>3.5408957509251021E-3</v>
      </c>
      <c r="H28" s="30"/>
      <c r="I28" s="30"/>
      <c r="J28" s="30"/>
      <c r="K28" s="30"/>
      <c r="L28" s="30"/>
      <c r="M28" s="30"/>
      <c r="N28" s="30"/>
      <c r="O28" s="30"/>
      <c r="P28" s="30"/>
      <c r="Q28" s="1"/>
      <c r="R28" s="11"/>
      <c r="S28" s="72"/>
      <c r="T28" s="72"/>
      <c r="U28" s="72"/>
      <c r="V28" s="72"/>
    </row>
    <row r="29" spans="1:22" x14ac:dyDescent="0.35">
      <c r="A29" s="92">
        <v>12</v>
      </c>
      <c r="B29" s="137" t="s">
        <v>36</v>
      </c>
      <c r="C29" s="96" t="s">
        <v>28</v>
      </c>
      <c r="D29" s="84"/>
      <c r="E29" s="85">
        <v>45</v>
      </c>
      <c r="F29" s="100">
        <f>'1_weight_criteria'!E29/SUM('1_weight_criteria'!$E$18:$E$34)</f>
        <v>4.8806941431670282E-2</v>
      </c>
      <c r="G29" s="154">
        <f t="shared" si="0"/>
        <v>-1.0016587980094423E-2</v>
      </c>
      <c r="H29" s="30"/>
      <c r="I29" s="30"/>
      <c r="J29" s="30"/>
      <c r="K29" s="30"/>
      <c r="L29" s="30"/>
      <c r="M29" s="30"/>
      <c r="N29" s="30"/>
      <c r="O29" s="30"/>
      <c r="P29" s="30"/>
      <c r="Q29" s="1"/>
      <c r="R29" s="11"/>
      <c r="S29" s="72"/>
      <c r="T29" s="72"/>
      <c r="U29" s="72"/>
      <c r="V29" s="72"/>
    </row>
    <row r="30" spans="1:22" x14ac:dyDescent="0.35">
      <c r="A30" s="92">
        <v>13</v>
      </c>
      <c r="B30" s="137" t="s">
        <v>37</v>
      </c>
      <c r="C30" s="137" t="s">
        <v>28</v>
      </c>
      <c r="D30" s="84"/>
      <c r="E30" s="85">
        <v>43.5</v>
      </c>
      <c r="F30" s="100">
        <f>'1_weight_criteria'!E30/SUM('1_weight_criteria'!$E$18:$E$34)</f>
        <v>4.7180043383947941E-2</v>
      </c>
      <c r="G30" s="154">
        <f t="shared" si="0"/>
        <v>-1.1643486027816764E-2</v>
      </c>
      <c r="H30" s="30"/>
      <c r="I30" s="30"/>
      <c r="J30" s="30"/>
      <c r="K30" s="30"/>
      <c r="L30" s="30"/>
      <c r="M30" s="30"/>
      <c r="N30" s="30"/>
      <c r="O30" s="30"/>
      <c r="P30" s="30"/>
      <c r="Q30" s="1"/>
      <c r="R30" s="11"/>
      <c r="S30" s="72"/>
      <c r="T30" s="72"/>
      <c r="U30" s="72"/>
      <c r="V30" s="72"/>
    </row>
    <row r="31" spans="1:22" x14ac:dyDescent="0.35">
      <c r="A31" s="92">
        <v>14</v>
      </c>
      <c r="B31" s="137" t="s">
        <v>38</v>
      </c>
      <c r="C31" s="137" t="s">
        <v>39</v>
      </c>
      <c r="D31" s="84"/>
      <c r="E31" s="85">
        <v>0.5</v>
      </c>
      <c r="F31" s="100">
        <f>'1_weight_criteria'!E31/SUM('1_weight_criteria'!$E$18:$E$34)</f>
        <v>5.4229934924078093E-4</v>
      </c>
      <c r="G31" s="154">
        <f t="shared" si="0"/>
        <v>-5.8281230062523927E-2</v>
      </c>
      <c r="H31" s="34"/>
      <c r="I31" s="34"/>
      <c r="J31" s="34"/>
      <c r="K31" s="34"/>
      <c r="L31" s="34"/>
      <c r="M31" s="34"/>
      <c r="N31" s="34"/>
      <c r="O31" s="34"/>
      <c r="P31" s="34"/>
      <c r="Q31" s="1"/>
      <c r="R31" s="11"/>
      <c r="S31" s="72"/>
      <c r="T31" s="72"/>
      <c r="U31" s="72"/>
      <c r="V31" s="72"/>
    </row>
    <row r="32" spans="1:22" x14ac:dyDescent="0.35">
      <c r="A32" s="92">
        <v>15</v>
      </c>
      <c r="B32" s="137" t="s">
        <v>40</v>
      </c>
      <c r="C32" s="137" t="s">
        <v>28</v>
      </c>
      <c r="D32" s="84"/>
      <c r="E32" s="85">
        <v>57.5</v>
      </c>
      <c r="F32" s="100">
        <f>'1_weight_criteria'!E32/SUM('1_weight_criteria'!$E$18:$E$34)</f>
        <v>6.2364425162689807E-2</v>
      </c>
      <c r="G32" s="154">
        <f t="shared" si="0"/>
        <v>3.5408957509251021E-3</v>
      </c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1"/>
      <c r="V32" s="11"/>
    </row>
    <row r="33" spans="1:22" x14ac:dyDescent="0.35">
      <c r="A33" s="92">
        <v>16</v>
      </c>
      <c r="B33" s="137" t="s">
        <v>41</v>
      </c>
      <c r="C33" s="137" t="s">
        <v>28</v>
      </c>
      <c r="D33" s="84"/>
      <c r="E33" s="85">
        <v>69.5</v>
      </c>
      <c r="F33" s="100">
        <f>'1_weight_criteria'!E33/SUM('1_weight_criteria'!$E$18:$E$34)</f>
        <v>7.537960954446854E-2</v>
      </c>
      <c r="G33" s="154">
        <f t="shared" si="0"/>
        <v>1.6556080132703835E-2</v>
      </c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  <c r="V33" s="32"/>
    </row>
    <row r="34" spans="1:22" ht="13.15" thickBot="1" x14ac:dyDescent="0.4">
      <c r="A34" s="93">
        <v>17</v>
      </c>
      <c r="B34" s="138" t="s">
        <v>42</v>
      </c>
      <c r="C34" s="138" t="s">
        <v>28</v>
      </c>
      <c r="D34" s="94"/>
      <c r="E34" s="95">
        <v>99</v>
      </c>
      <c r="F34" s="100">
        <f>'1_weight_criteria'!E34/SUM('1_weight_criteria'!$E$18:$E$34)</f>
        <v>0.10737527114967461</v>
      </c>
      <c r="G34" s="155">
        <f t="shared" si="0"/>
        <v>4.8551741737909909E-2</v>
      </c>
      <c r="H34" s="20"/>
      <c r="I34" s="20"/>
      <c r="J34" s="20"/>
      <c r="K34" s="20"/>
      <c r="L34" s="35"/>
      <c r="M34" s="35"/>
      <c r="N34" s="35"/>
      <c r="O34" s="11"/>
      <c r="P34" s="11"/>
      <c r="Q34" s="11"/>
      <c r="R34" s="11"/>
      <c r="S34" s="11"/>
      <c r="T34" s="11"/>
      <c r="U34" s="11"/>
      <c r="V34" s="11"/>
    </row>
    <row r="35" spans="1:22" x14ac:dyDescent="0.35">
      <c r="A35" s="72"/>
      <c r="B35" s="72"/>
      <c r="D35" s="72"/>
      <c r="E35" s="72"/>
      <c r="F35" s="130">
        <f>1/17</f>
        <v>5.8823529411764705E-2</v>
      </c>
      <c r="G35" s="131" t="s">
        <v>43</v>
      </c>
      <c r="H35" s="11"/>
      <c r="I35" s="11"/>
      <c r="J35" s="11"/>
      <c r="K35" s="11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</row>
  </sheetData>
  <mergeCells count="1">
    <mergeCell ref="A17:B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57"/>
  <sheetViews>
    <sheetView workbookViewId="0">
      <pane xSplit="3" topLeftCell="Q1" activePane="topRight" state="frozen"/>
      <selection pane="topRight" activeCell="T33" sqref="T33"/>
    </sheetView>
  </sheetViews>
  <sheetFormatPr defaultRowHeight="12.75" x14ac:dyDescent="0.35"/>
  <cols>
    <col min="2" max="2" width="51.3984375" style="4" customWidth="1"/>
    <col min="3" max="3" width="12.265625" style="6" customWidth="1"/>
    <col min="4" max="4" width="13.59765625" style="4" customWidth="1"/>
    <col min="5" max="5" width="15.86328125" style="4" customWidth="1"/>
    <col min="6" max="6" width="15.3984375" style="4" customWidth="1"/>
    <col min="7" max="7" width="16" style="4" customWidth="1"/>
    <col min="8" max="8" width="20.3984375" style="4" customWidth="1"/>
    <col min="9" max="9" width="20.1328125" customWidth="1"/>
    <col min="10" max="10" width="21" style="2" customWidth="1"/>
    <col min="11" max="11" width="24.73046875" customWidth="1"/>
    <col min="12" max="12" width="15.86328125" customWidth="1"/>
    <col min="13" max="13" width="25.86328125" customWidth="1"/>
    <col min="14" max="14" width="23.73046875" customWidth="1"/>
    <col min="15" max="15" width="15.3984375" customWidth="1"/>
    <col min="16" max="16" width="20" customWidth="1"/>
    <col min="17" max="17" width="22.265625" customWidth="1"/>
    <col min="18" max="18" width="14" customWidth="1"/>
    <col min="19" max="19" width="17.73046875" customWidth="1"/>
    <col min="20" max="20" width="21.3984375" customWidth="1"/>
    <col min="21" max="21" width="17.59765625" customWidth="1"/>
    <col min="22" max="22" width="18.86328125" customWidth="1"/>
    <col min="23" max="23" width="15.3984375" customWidth="1"/>
    <col min="24" max="24" width="18.86328125" customWidth="1"/>
    <col min="25" max="25" width="17.3984375" customWidth="1"/>
    <col min="26" max="26" width="20.1328125" customWidth="1"/>
    <col min="27" max="27" width="14.3984375" customWidth="1"/>
    <col min="29" max="29" width="14.265625" customWidth="1"/>
    <col min="30" max="30" width="16.1328125" customWidth="1"/>
    <col min="31" max="31" width="14" customWidth="1"/>
    <col min="34" max="34" width="10.265625" customWidth="1"/>
  </cols>
  <sheetData>
    <row r="1" spans="1:39" s="14" customFormat="1" ht="13.15" x14ac:dyDescent="0.4">
      <c r="A1" s="15" t="s">
        <v>44</v>
      </c>
      <c r="B1" s="73"/>
      <c r="C1" s="16"/>
      <c r="D1" s="16"/>
      <c r="E1" s="16"/>
      <c r="F1" s="16"/>
      <c r="G1" s="16"/>
      <c r="H1" s="16"/>
      <c r="I1" s="17"/>
      <c r="J1" s="18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3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</row>
    <row r="2" spans="1:39" s="11" customFormat="1" ht="13.15" x14ac:dyDescent="0.4">
      <c r="B2" s="5"/>
      <c r="C2" s="7"/>
      <c r="D2" s="7"/>
      <c r="E2" s="7"/>
      <c r="F2" s="7"/>
      <c r="G2" s="7"/>
      <c r="H2" s="7"/>
      <c r="I2" s="27"/>
      <c r="J2" s="12"/>
    </row>
    <row r="3" spans="1:39" s="11" customFormat="1" ht="13.15" x14ac:dyDescent="0.4">
      <c r="A3" s="65" t="s">
        <v>3</v>
      </c>
      <c r="B3" s="319"/>
      <c r="C3" s="28"/>
      <c r="D3" s="28"/>
      <c r="E3" s="28"/>
      <c r="F3" s="28"/>
      <c r="G3" s="28"/>
      <c r="H3" s="28"/>
      <c r="I3" s="51"/>
      <c r="J3" s="52"/>
    </row>
    <row r="4" spans="1:39" s="11" customFormat="1" ht="13.15" x14ac:dyDescent="0.4">
      <c r="A4" s="29" t="s">
        <v>45</v>
      </c>
      <c r="B4" s="47"/>
      <c r="C4" s="48"/>
      <c r="D4" s="48"/>
      <c r="E4" s="48"/>
      <c r="F4" s="48"/>
      <c r="G4" s="48"/>
      <c r="H4" s="48"/>
      <c r="I4" s="60"/>
      <c r="J4" s="61"/>
    </row>
    <row r="5" spans="1:39" x14ac:dyDescent="0.35">
      <c r="A5" s="44" t="s">
        <v>46</v>
      </c>
      <c r="B5" s="45"/>
      <c r="C5" s="46"/>
      <c r="D5" s="46"/>
      <c r="E5" s="46"/>
      <c r="F5" s="46"/>
      <c r="G5" s="46"/>
      <c r="H5" s="46"/>
      <c r="I5" s="53"/>
      <c r="J5" s="54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</row>
    <row r="6" spans="1:39" ht="13.15" thickBot="1" x14ac:dyDescent="0.4">
      <c r="A6" s="72"/>
      <c r="D6" s="6">
        <v>1</v>
      </c>
      <c r="E6" s="6">
        <v>2</v>
      </c>
      <c r="F6" s="6">
        <v>3</v>
      </c>
      <c r="G6" s="6">
        <v>4</v>
      </c>
      <c r="H6" s="6">
        <v>5</v>
      </c>
      <c r="I6" s="6">
        <v>6</v>
      </c>
      <c r="J6" s="6">
        <v>7</v>
      </c>
      <c r="K6" s="6">
        <v>8</v>
      </c>
      <c r="L6" s="6">
        <v>9</v>
      </c>
      <c r="M6" s="6">
        <v>10</v>
      </c>
      <c r="N6" s="6">
        <v>11</v>
      </c>
      <c r="O6" s="6">
        <v>12</v>
      </c>
      <c r="P6" s="6">
        <v>13</v>
      </c>
      <c r="Q6" s="6">
        <v>14</v>
      </c>
      <c r="R6" s="6">
        <v>15</v>
      </c>
      <c r="S6" s="6">
        <v>16</v>
      </c>
      <c r="T6" s="6">
        <v>17</v>
      </c>
      <c r="U6" s="6">
        <v>18</v>
      </c>
      <c r="V6" s="6">
        <v>19</v>
      </c>
      <c r="W6" s="6">
        <v>20</v>
      </c>
      <c r="X6" s="6">
        <v>21</v>
      </c>
      <c r="Y6" s="6">
        <v>22</v>
      </c>
      <c r="Z6" s="6">
        <v>23</v>
      </c>
      <c r="AA6" s="6">
        <v>24</v>
      </c>
      <c r="AB6" s="6">
        <v>25</v>
      </c>
      <c r="AC6" s="6">
        <v>26</v>
      </c>
      <c r="AD6" s="6">
        <v>27</v>
      </c>
      <c r="AE6" s="6">
        <v>28</v>
      </c>
      <c r="AF6" s="6">
        <v>29</v>
      </c>
      <c r="AG6" s="6">
        <v>30</v>
      </c>
      <c r="AH6" s="6">
        <v>31</v>
      </c>
      <c r="AI6" s="72"/>
      <c r="AJ6" s="72"/>
      <c r="AK6" s="72"/>
      <c r="AL6" s="72"/>
      <c r="AM6" s="72"/>
    </row>
    <row r="7" spans="1:39" ht="13.15" x14ac:dyDescent="0.35">
      <c r="A7" s="342" t="s">
        <v>47</v>
      </c>
      <c r="B7" s="343"/>
      <c r="C7" s="63"/>
      <c r="D7" s="344" t="s">
        <v>48</v>
      </c>
      <c r="E7" s="345"/>
      <c r="F7" s="346"/>
      <c r="G7" s="20"/>
      <c r="H7" s="1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</row>
    <row r="8" spans="1:39" ht="76.5" x14ac:dyDescent="0.35">
      <c r="A8" s="347" t="s">
        <v>16</v>
      </c>
      <c r="B8" s="348"/>
      <c r="C8" s="67" t="s">
        <v>17</v>
      </c>
      <c r="D8" s="160" t="s">
        <v>49</v>
      </c>
      <c r="E8" s="160" t="s">
        <v>50</v>
      </c>
      <c r="F8" s="160" t="s">
        <v>51</v>
      </c>
      <c r="G8" s="159" t="s">
        <v>52</v>
      </c>
      <c r="H8" s="159" t="s">
        <v>53</v>
      </c>
      <c r="I8" s="159" t="s">
        <v>54</v>
      </c>
      <c r="J8" s="161" t="s">
        <v>55</v>
      </c>
      <c r="K8" s="161" t="s">
        <v>56</v>
      </c>
      <c r="L8" s="161" t="s">
        <v>57</v>
      </c>
      <c r="M8" s="162" t="s">
        <v>58</v>
      </c>
      <c r="N8" s="162" t="s">
        <v>59</v>
      </c>
      <c r="O8" s="162" t="s">
        <v>60</v>
      </c>
      <c r="P8" s="156" t="s">
        <v>61</v>
      </c>
      <c r="Q8" s="162" t="s">
        <v>62</v>
      </c>
      <c r="R8" s="162" t="s">
        <v>63</v>
      </c>
      <c r="S8" s="162" t="s">
        <v>64</v>
      </c>
      <c r="T8" s="162" t="s">
        <v>65</v>
      </c>
      <c r="U8" s="161" t="s">
        <v>66</v>
      </c>
      <c r="V8" s="161" t="s">
        <v>67</v>
      </c>
      <c r="W8" s="162" t="s">
        <v>68</v>
      </c>
      <c r="X8" s="156" t="s">
        <v>69</v>
      </c>
      <c r="Y8" s="162" t="s">
        <v>70</v>
      </c>
      <c r="Z8" s="162" t="s">
        <v>71</v>
      </c>
      <c r="AA8" s="156" t="s">
        <v>72</v>
      </c>
      <c r="AB8" s="156" t="s">
        <v>73</v>
      </c>
      <c r="AC8" s="162" t="s">
        <v>74</v>
      </c>
      <c r="AD8" s="162" t="s">
        <v>75</v>
      </c>
      <c r="AE8" s="162" t="s">
        <v>76</v>
      </c>
      <c r="AF8" s="162" t="s">
        <v>77</v>
      </c>
      <c r="AG8" s="162" t="s">
        <v>78</v>
      </c>
      <c r="AH8" s="162" t="s">
        <v>79</v>
      </c>
      <c r="AI8" s="273"/>
      <c r="AJ8" s="97"/>
      <c r="AK8" s="97"/>
      <c r="AL8" s="97"/>
      <c r="AM8" s="97"/>
    </row>
    <row r="9" spans="1:39" x14ac:dyDescent="0.35">
      <c r="A9" s="139">
        <v>1</v>
      </c>
      <c r="B9" s="137" t="s">
        <v>22</v>
      </c>
      <c r="C9" s="96" t="s">
        <v>23</v>
      </c>
      <c r="D9" s="66">
        <v>2</v>
      </c>
      <c r="E9" s="66">
        <v>2</v>
      </c>
      <c r="F9" s="66">
        <v>2</v>
      </c>
      <c r="G9" s="66">
        <v>2</v>
      </c>
      <c r="H9" s="157">
        <v>2</v>
      </c>
      <c r="I9" s="157">
        <v>2</v>
      </c>
      <c r="J9" s="157">
        <v>2</v>
      </c>
      <c r="K9" s="157">
        <v>2</v>
      </c>
      <c r="L9" s="157">
        <v>2</v>
      </c>
      <c r="M9" s="157">
        <v>2</v>
      </c>
      <c r="N9" s="157">
        <v>2</v>
      </c>
      <c r="O9" s="157">
        <v>2</v>
      </c>
      <c r="P9" s="157">
        <v>2</v>
      </c>
      <c r="Q9" s="157">
        <v>2</v>
      </c>
      <c r="R9" s="157">
        <v>2</v>
      </c>
      <c r="S9" s="157">
        <v>2</v>
      </c>
      <c r="T9" s="157">
        <v>2</v>
      </c>
      <c r="U9" s="157">
        <v>2</v>
      </c>
      <c r="V9" s="157">
        <v>2</v>
      </c>
      <c r="W9" s="157">
        <v>2</v>
      </c>
      <c r="X9" s="157">
        <v>2</v>
      </c>
      <c r="Y9" s="157">
        <v>2</v>
      </c>
      <c r="Z9" s="157">
        <v>2</v>
      </c>
      <c r="AA9" s="157">
        <v>2</v>
      </c>
      <c r="AB9" s="157">
        <v>2</v>
      </c>
      <c r="AC9" s="157">
        <v>2</v>
      </c>
      <c r="AD9" s="157">
        <v>2</v>
      </c>
      <c r="AE9" s="157">
        <v>2</v>
      </c>
      <c r="AF9" s="156">
        <v>2</v>
      </c>
      <c r="AG9" s="156">
        <v>1</v>
      </c>
      <c r="AH9" s="156">
        <v>2</v>
      </c>
      <c r="AI9" s="273"/>
      <c r="AJ9" s="97"/>
      <c r="AK9" s="97"/>
      <c r="AL9" s="97"/>
      <c r="AM9" s="97"/>
    </row>
    <row r="10" spans="1:39" x14ac:dyDescent="0.35">
      <c r="A10" s="139">
        <v>2</v>
      </c>
      <c r="B10" s="137" t="s">
        <v>24</v>
      </c>
      <c r="C10" s="96" t="s">
        <v>23</v>
      </c>
      <c r="D10" s="66">
        <v>2</v>
      </c>
      <c r="E10" s="66">
        <v>2</v>
      </c>
      <c r="F10" s="66">
        <v>2</v>
      </c>
      <c r="G10" s="66">
        <v>2</v>
      </c>
      <c r="H10" s="157">
        <v>2</v>
      </c>
      <c r="I10" s="157">
        <v>2</v>
      </c>
      <c r="J10" s="157">
        <v>2</v>
      </c>
      <c r="K10" s="157">
        <v>2</v>
      </c>
      <c r="L10" s="157">
        <v>2</v>
      </c>
      <c r="M10" s="157">
        <v>1</v>
      </c>
      <c r="N10" s="157">
        <v>2</v>
      </c>
      <c r="O10" s="157">
        <v>2</v>
      </c>
      <c r="P10" s="157">
        <v>2</v>
      </c>
      <c r="Q10" s="157">
        <v>2</v>
      </c>
      <c r="R10" s="157">
        <v>1</v>
      </c>
      <c r="S10" s="157">
        <v>1</v>
      </c>
      <c r="T10" s="157">
        <v>1</v>
      </c>
      <c r="U10" s="157">
        <v>1</v>
      </c>
      <c r="V10" s="157">
        <v>2</v>
      </c>
      <c r="W10" s="157">
        <v>2</v>
      </c>
      <c r="X10" s="157">
        <v>2</v>
      </c>
      <c r="Y10" s="157">
        <v>2</v>
      </c>
      <c r="Z10" s="157">
        <v>2</v>
      </c>
      <c r="AA10" s="157">
        <v>2</v>
      </c>
      <c r="AB10" s="157">
        <v>2</v>
      </c>
      <c r="AC10" s="157">
        <v>2</v>
      </c>
      <c r="AD10" s="157">
        <v>2</v>
      </c>
      <c r="AE10" s="157">
        <v>2</v>
      </c>
      <c r="AF10" s="156">
        <v>1</v>
      </c>
      <c r="AG10" s="156">
        <v>1</v>
      </c>
      <c r="AH10" s="156">
        <v>1</v>
      </c>
      <c r="AI10" s="273"/>
      <c r="AJ10" s="97"/>
      <c r="AK10" s="97"/>
      <c r="AL10" s="97"/>
      <c r="AM10" s="97"/>
    </row>
    <row r="11" spans="1:39" x14ac:dyDescent="0.35">
      <c r="A11" s="139">
        <v>3</v>
      </c>
      <c r="B11" s="137" t="s">
        <v>25</v>
      </c>
      <c r="C11" s="96" t="s">
        <v>23</v>
      </c>
      <c r="D11" s="66">
        <v>1</v>
      </c>
      <c r="E11" s="66">
        <v>2</v>
      </c>
      <c r="F11" s="66">
        <v>2</v>
      </c>
      <c r="G11" s="66">
        <v>1</v>
      </c>
      <c r="H11" s="157">
        <v>1</v>
      </c>
      <c r="I11" s="157">
        <v>1</v>
      </c>
      <c r="J11" s="157">
        <v>1</v>
      </c>
      <c r="K11" s="157">
        <v>1</v>
      </c>
      <c r="L11" s="157">
        <v>1</v>
      </c>
      <c r="M11" s="157">
        <v>2</v>
      </c>
      <c r="N11" s="157">
        <v>2</v>
      </c>
      <c r="O11" s="157">
        <v>2</v>
      </c>
      <c r="P11" s="157">
        <v>2</v>
      </c>
      <c r="Q11" s="157">
        <v>2</v>
      </c>
      <c r="R11" s="157">
        <v>2</v>
      </c>
      <c r="S11" s="157">
        <v>2</v>
      </c>
      <c r="T11" s="157">
        <v>1</v>
      </c>
      <c r="U11" s="157">
        <v>2</v>
      </c>
      <c r="V11" s="157">
        <v>2</v>
      </c>
      <c r="W11" s="157">
        <v>2</v>
      </c>
      <c r="X11" s="157">
        <v>1</v>
      </c>
      <c r="Y11" s="157">
        <v>1</v>
      </c>
      <c r="Z11" s="157">
        <v>1</v>
      </c>
      <c r="AA11" s="157">
        <v>1</v>
      </c>
      <c r="AB11" s="157">
        <v>2</v>
      </c>
      <c r="AC11" s="157">
        <v>2</v>
      </c>
      <c r="AD11" s="157">
        <v>2</v>
      </c>
      <c r="AE11" s="157">
        <v>2</v>
      </c>
      <c r="AF11" s="156">
        <v>2</v>
      </c>
      <c r="AG11" s="156">
        <v>1</v>
      </c>
      <c r="AH11" s="156">
        <v>1</v>
      </c>
      <c r="AI11" s="273"/>
      <c r="AJ11" s="97"/>
      <c r="AK11" s="97"/>
      <c r="AL11" s="97"/>
      <c r="AM11" s="97"/>
    </row>
    <row r="12" spans="1:39" x14ac:dyDescent="0.35">
      <c r="A12" s="139">
        <v>4</v>
      </c>
      <c r="B12" s="137" t="s">
        <v>26</v>
      </c>
      <c r="C12" s="96" t="s">
        <v>23</v>
      </c>
      <c r="D12" s="66">
        <v>1</v>
      </c>
      <c r="E12" s="66">
        <v>1</v>
      </c>
      <c r="F12" s="66">
        <v>1</v>
      </c>
      <c r="G12" s="66">
        <v>1</v>
      </c>
      <c r="H12" s="157">
        <v>1</v>
      </c>
      <c r="I12" s="157">
        <v>1</v>
      </c>
      <c r="J12" s="157">
        <v>1</v>
      </c>
      <c r="K12" s="157">
        <v>1</v>
      </c>
      <c r="L12" s="157">
        <v>1</v>
      </c>
      <c r="M12" s="157">
        <v>1</v>
      </c>
      <c r="N12" s="157">
        <v>1</v>
      </c>
      <c r="O12" s="157">
        <v>1</v>
      </c>
      <c r="P12" s="157">
        <v>1</v>
      </c>
      <c r="Q12" s="157">
        <v>1</v>
      </c>
      <c r="R12" s="157">
        <v>1</v>
      </c>
      <c r="S12" s="157">
        <v>2</v>
      </c>
      <c r="T12" s="157">
        <v>1</v>
      </c>
      <c r="U12" s="157">
        <v>1</v>
      </c>
      <c r="V12" s="157">
        <v>1</v>
      </c>
      <c r="W12" s="157">
        <v>1</v>
      </c>
      <c r="X12" s="157">
        <v>1</v>
      </c>
      <c r="Y12" s="157">
        <v>1</v>
      </c>
      <c r="Z12" s="157">
        <v>1</v>
      </c>
      <c r="AA12" s="157">
        <v>1</v>
      </c>
      <c r="AB12" s="157">
        <v>1</v>
      </c>
      <c r="AC12" s="157">
        <v>2</v>
      </c>
      <c r="AD12" s="157">
        <v>1</v>
      </c>
      <c r="AE12" s="157">
        <v>1</v>
      </c>
      <c r="AF12" s="156">
        <v>2</v>
      </c>
      <c r="AG12" s="156">
        <v>1</v>
      </c>
      <c r="AH12" s="156">
        <v>1</v>
      </c>
      <c r="AI12" s="273"/>
      <c r="AJ12" s="97"/>
      <c r="AK12" s="97"/>
      <c r="AL12" s="97"/>
      <c r="AM12" s="97"/>
    </row>
    <row r="13" spans="1:39" x14ac:dyDescent="0.35">
      <c r="A13" s="139">
        <v>5</v>
      </c>
      <c r="B13" s="137" t="s">
        <v>27</v>
      </c>
      <c r="C13" s="96" t="s">
        <v>28</v>
      </c>
      <c r="D13" s="66">
        <v>1</v>
      </c>
      <c r="E13" s="66">
        <v>1</v>
      </c>
      <c r="F13" s="66">
        <v>1</v>
      </c>
      <c r="G13" s="66">
        <v>1</v>
      </c>
      <c r="H13" s="157">
        <v>1</v>
      </c>
      <c r="I13" s="157">
        <v>1</v>
      </c>
      <c r="J13" s="157">
        <v>1</v>
      </c>
      <c r="K13" s="157">
        <v>1</v>
      </c>
      <c r="L13" s="157">
        <v>1</v>
      </c>
      <c r="M13" s="157">
        <v>4</v>
      </c>
      <c r="N13" s="157">
        <v>2</v>
      </c>
      <c r="O13" s="157">
        <v>1</v>
      </c>
      <c r="P13" s="157">
        <v>2</v>
      </c>
      <c r="Q13" s="157">
        <v>4</v>
      </c>
      <c r="R13" s="157">
        <v>4</v>
      </c>
      <c r="S13" s="157">
        <v>4</v>
      </c>
      <c r="T13" s="157">
        <v>1</v>
      </c>
      <c r="U13" s="157">
        <v>1</v>
      </c>
      <c r="V13" s="157">
        <v>1</v>
      </c>
      <c r="W13" s="157">
        <v>2</v>
      </c>
      <c r="X13" s="157">
        <v>1</v>
      </c>
      <c r="Y13" s="157">
        <v>1</v>
      </c>
      <c r="Z13" s="157">
        <v>1</v>
      </c>
      <c r="AA13" s="157">
        <v>1</v>
      </c>
      <c r="AB13" s="157">
        <v>2</v>
      </c>
      <c r="AC13" s="157">
        <v>2</v>
      </c>
      <c r="AD13" s="157">
        <v>2</v>
      </c>
      <c r="AE13" s="157">
        <v>2</v>
      </c>
      <c r="AF13" s="156">
        <v>4</v>
      </c>
      <c r="AG13" s="156">
        <v>1</v>
      </c>
      <c r="AH13" s="156">
        <v>1</v>
      </c>
      <c r="AI13" s="273"/>
      <c r="AJ13" s="97"/>
      <c r="AK13" s="97"/>
      <c r="AL13" s="97"/>
      <c r="AM13" s="97"/>
    </row>
    <row r="14" spans="1:39" s="72" customFormat="1" x14ac:dyDescent="0.35">
      <c r="A14" s="139">
        <v>6</v>
      </c>
      <c r="B14" s="137" t="s">
        <v>29</v>
      </c>
      <c r="C14" s="96" t="s">
        <v>23</v>
      </c>
      <c r="D14" s="66">
        <v>2</v>
      </c>
      <c r="E14" s="66">
        <v>2</v>
      </c>
      <c r="F14" s="66">
        <v>2</v>
      </c>
      <c r="G14" s="66">
        <v>2</v>
      </c>
      <c r="H14" s="157">
        <v>2</v>
      </c>
      <c r="I14" s="157">
        <v>2</v>
      </c>
      <c r="J14" s="157">
        <v>2</v>
      </c>
      <c r="K14" s="157">
        <v>2</v>
      </c>
      <c r="L14" s="157">
        <v>2</v>
      </c>
      <c r="M14" s="157">
        <v>1</v>
      </c>
      <c r="N14" s="157">
        <v>2</v>
      </c>
      <c r="O14" s="157">
        <v>2</v>
      </c>
      <c r="P14" s="157">
        <v>2</v>
      </c>
      <c r="Q14" s="157">
        <v>2</v>
      </c>
      <c r="R14" s="157">
        <v>2</v>
      </c>
      <c r="S14" s="157">
        <v>1</v>
      </c>
      <c r="T14" s="157">
        <v>2</v>
      </c>
      <c r="U14" s="157">
        <v>1</v>
      </c>
      <c r="V14" s="157">
        <v>1</v>
      </c>
      <c r="W14" s="157">
        <v>2</v>
      </c>
      <c r="X14" s="157">
        <v>1</v>
      </c>
      <c r="Y14" s="157">
        <v>1</v>
      </c>
      <c r="Z14" s="157">
        <v>1</v>
      </c>
      <c r="AA14" s="157">
        <v>1</v>
      </c>
      <c r="AB14" s="157">
        <v>2</v>
      </c>
      <c r="AC14" s="157">
        <v>2</v>
      </c>
      <c r="AD14" s="157">
        <v>2</v>
      </c>
      <c r="AE14" s="157">
        <v>2</v>
      </c>
      <c r="AF14" s="156">
        <v>2</v>
      </c>
      <c r="AG14" s="156">
        <v>1</v>
      </c>
      <c r="AH14" s="156">
        <v>1</v>
      </c>
      <c r="AI14" s="273"/>
      <c r="AJ14" s="97"/>
      <c r="AK14" s="97"/>
      <c r="AL14" s="97"/>
      <c r="AM14" s="97"/>
    </row>
    <row r="15" spans="1:39" x14ac:dyDescent="0.35">
      <c r="A15" s="139">
        <v>7</v>
      </c>
      <c r="B15" s="137" t="s">
        <v>30</v>
      </c>
      <c r="C15" s="96" t="s">
        <v>28</v>
      </c>
      <c r="D15" s="66">
        <v>2</v>
      </c>
      <c r="E15" s="66">
        <v>2</v>
      </c>
      <c r="F15" s="66">
        <v>2</v>
      </c>
      <c r="G15" s="66">
        <v>2</v>
      </c>
      <c r="H15" s="157">
        <v>1</v>
      </c>
      <c r="I15" s="157">
        <v>1</v>
      </c>
      <c r="J15" s="157">
        <v>1</v>
      </c>
      <c r="K15" s="157">
        <v>1</v>
      </c>
      <c r="L15" s="157">
        <v>1</v>
      </c>
      <c r="M15" s="157">
        <v>1</v>
      </c>
      <c r="N15" s="157">
        <v>1</v>
      </c>
      <c r="O15" s="157">
        <v>4</v>
      </c>
      <c r="P15" s="157">
        <v>2</v>
      </c>
      <c r="Q15" s="157">
        <v>1</v>
      </c>
      <c r="R15" s="157">
        <v>1</v>
      </c>
      <c r="S15" s="157">
        <v>1</v>
      </c>
      <c r="T15" s="157">
        <v>1</v>
      </c>
      <c r="U15" s="157">
        <v>1</v>
      </c>
      <c r="V15" s="157">
        <v>1</v>
      </c>
      <c r="W15" s="157">
        <v>2</v>
      </c>
      <c r="X15" s="157">
        <v>2</v>
      </c>
      <c r="Y15" s="157">
        <v>1</v>
      </c>
      <c r="Z15" s="157">
        <v>1</v>
      </c>
      <c r="AA15" s="157">
        <v>2</v>
      </c>
      <c r="AB15" s="157">
        <v>1</v>
      </c>
      <c r="AC15" s="157">
        <v>1</v>
      </c>
      <c r="AD15" s="157">
        <v>2</v>
      </c>
      <c r="AE15" s="157">
        <v>2</v>
      </c>
      <c r="AF15" s="156">
        <v>3</v>
      </c>
      <c r="AG15" s="156">
        <v>2</v>
      </c>
      <c r="AH15" s="156">
        <v>2</v>
      </c>
      <c r="AI15" s="273"/>
      <c r="AJ15" s="97"/>
      <c r="AK15" s="97"/>
      <c r="AL15" s="97"/>
      <c r="AM15" s="97"/>
    </row>
    <row r="16" spans="1:39" x14ac:dyDescent="0.35">
      <c r="A16" s="139">
        <v>8</v>
      </c>
      <c r="B16" s="137" t="s">
        <v>31</v>
      </c>
      <c r="C16" s="96" t="s">
        <v>28</v>
      </c>
      <c r="D16" s="66">
        <v>1</v>
      </c>
      <c r="E16" s="66">
        <v>4</v>
      </c>
      <c r="F16" s="66">
        <v>4</v>
      </c>
      <c r="G16" s="66">
        <v>1</v>
      </c>
      <c r="H16" s="157">
        <v>1</v>
      </c>
      <c r="I16" s="157">
        <v>2</v>
      </c>
      <c r="J16" s="157">
        <v>2</v>
      </c>
      <c r="K16" s="157">
        <v>4</v>
      </c>
      <c r="L16" s="157">
        <v>4</v>
      </c>
      <c r="M16" s="157">
        <v>1</v>
      </c>
      <c r="N16" s="157">
        <v>1</v>
      </c>
      <c r="O16" s="157">
        <v>4</v>
      </c>
      <c r="P16" s="157">
        <v>1</v>
      </c>
      <c r="Q16" s="157">
        <v>1</v>
      </c>
      <c r="R16" s="157">
        <v>1</v>
      </c>
      <c r="S16" s="157">
        <v>1</v>
      </c>
      <c r="T16" s="157">
        <v>1</v>
      </c>
      <c r="U16" s="157">
        <v>1</v>
      </c>
      <c r="V16" s="157">
        <v>1</v>
      </c>
      <c r="W16" s="157">
        <v>1</v>
      </c>
      <c r="X16" s="157">
        <v>4</v>
      </c>
      <c r="Y16" s="157">
        <v>4</v>
      </c>
      <c r="Z16" s="157">
        <v>4</v>
      </c>
      <c r="AA16" s="157">
        <v>3</v>
      </c>
      <c r="AB16" s="157">
        <v>1</v>
      </c>
      <c r="AC16" s="157">
        <v>2</v>
      </c>
      <c r="AD16" s="157">
        <v>4</v>
      </c>
      <c r="AE16" s="157">
        <v>4</v>
      </c>
      <c r="AF16" s="156">
        <v>1</v>
      </c>
      <c r="AG16" s="156">
        <v>2</v>
      </c>
      <c r="AH16" s="156">
        <v>2</v>
      </c>
      <c r="AI16" s="273"/>
      <c r="AJ16" s="97"/>
      <c r="AK16" s="97"/>
      <c r="AL16" s="97"/>
      <c r="AM16" s="97"/>
    </row>
    <row r="17" spans="1:39" x14ac:dyDescent="0.35">
      <c r="A17" s="139">
        <v>9</v>
      </c>
      <c r="B17" s="137" t="s">
        <v>32</v>
      </c>
      <c r="C17" s="96" t="s">
        <v>35</v>
      </c>
      <c r="D17" s="66">
        <v>1</v>
      </c>
      <c r="E17" s="66">
        <v>1</v>
      </c>
      <c r="F17" s="66">
        <v>1</v>
      </c>
      <c r="G17" s="66">
        <v>1</v>
      </c>
      <c r="H17" s="157">
        <v>1</v>
      </c>
      <c r="I17" s="157">
        <v>1</v>
      </c>
      <c r="J17" s="157">
        <v>1</v>
      </c>
      <c r="K17" s="157">
        <v>1</v>
      </c>
      <c r="L17" s="157">
        <v>1</v>
      </c>
      <c r="M17" s="157">
        <v>1</v>
      </c>
      <c r="N17" s="157">
        <v>1</v>
      </c>
      <c r="O17" s="157">
        <v>1</v>
      </c>
      <c r="P17" s="157">
        <v>1</v>
      </c>
      <c r="Q17" s="157">
        <v>1</v>
      </c>
      <c r="R17" s="157">
        <v>1</v>
      </c>
      <c r="S17" s="157">
        <v>1</v>
      </c>
      <c r="T17" s="157">
        <v>1</v>
      </c>
      <c r="U17" s="157">
        <v>1</v>
      </c>
      <c r="V17" s="157">
        <v>1</v>
      </c>
      <c r="W17" s="157">
        <v>1</v>
      </c>
      <c r="X17" s="157">
        <v>1</v>
      </c>
      <c r="Y17" s="157">
        <v>1</v>
      </c>
      <c r="Z17" s="157">
        <v>1</v>
      </c>
      <c r="AA17" s="157">
        <v>1</v>
      </c>
      <c r="AB17" s="157">
        <v>1</v>
      </c>
      <c r="AC17" s="157">
        <v>1</v>
      </c>
      <c r="AD17" s="157">
        <v>1</v>
      </c>
      <c r="AE17" s="157">
        <v>1</v>
      </c>
      <c r="AF17" s="156">
        <v>2</v>
      </c>
      <c r="AG17" s="156">
        <v>1</v>
      </c>
      <c r="AH17" s="156">
        <v>1</v>
      </c>
      <c r="AI17" s="273"/>
      <c r="AJ17" s="97"/>
      <c r="AK17" s="97"/>
      <c r="AL17" s="97"/>
      <c r="AM17" s="97"/>
    </row>
    <row r="18" spans="1:39" x14ac:dyDescent="0.35">
      <c r="A18" s="139">
        <v>10</v>
      </c>
      <c r="B18" s="137" t="s">
        <v>33</v>
      </c>
      <c r="C18" s="96" t="s">
        <v>28</v>
      </c>
      <c r="D18" s="66">
        <v>2</v>
      </c>
      <c r="E18" s="66">
        <v>4</v>
      </c>
      <c r="F18" s="66">
        <v>2</v>
      </c>
      <c r="G18" s="66">
        <v>1</v>
      </c>
      <c r="H18" s="157">
        <v>1</v>
      </c>
      <c r="I18" s="157">
        <v>1</v>
      </c>
      <c r="J18" s="157">
        <v>1</v>
      </c>
      <c r="K18" s="157">
        <v>1</v>
      </c>
      <c r="L18" s="157">
        <v>2</v>
      </c>
      <c r="M18" s="157">
        <v>4</v>
      </c>
      <c r="N18" s="157">
        <v>4</v>
      </c>
      <c r="O18" s="157">
        <v>2</v>
      </c>
      <c r="P18" s="157">
        <v>2</v>
      </c>
      <c r="Q18" s="157">
        <v>2</v>
      </c>
      <c r="R18" s="157">
        <v>2</v>
      </c>
      <c r="S18" s="157">
        <v>2</v>
      </c>
      <c r="T18" s="157">
        <v>2</v>
      </c>
      <c r="U18" s="157">
        <v>2</v>
      </c>
      <c r="V18" s="157">
        <v>2</v>
      </c>
      <c r="W18" s="157">
        <v>2</v>
      </c>
      <c r="X18" s="157">
        <v>3</v>
      </c>
      <c r="Y18" s="157">
        <v>2</v>
      </c>
      <c r="Z18" s="157">
        <v>2</v>
      </c>
      <c r="AA18" s="157">
        <v>2</v>
      </c>
      <c r="AB18" s="157">
        <v>4</v>
      </c>
      <c r="AC18" s="157">
        <v>2</v>
      </c>
      <c r="AD18" s="157">
        <v>4</v>
      </c>
      <c r="AE18" s="157">
        <v>4</v>
      </c>
      <c r="AF18" s="156">
        <v>4</v>
      </c>
      <c r="AG18" s="156">
        <v>1</v>
      </c>
      <c r="AH18" s="156">
        <v>1</v>
      </c>
      <c r="AI18" s="273"/>
      <c r="AJ18" s="97"/>
      <c r="AK18" s="97"/>
      <c r="AL18" s="97"/>
      <c r="AM18" s="97"/>
    </row>
    <row r="19" spans="1:39" x14ac:dyDescent="0.35">
      <c r="A19" s="139">
        <v>11</v>
      </c>
      <c r="B19" s="137" t="s">
        <v>34</v>
      </c>
      <c r="C19" s="96" t="s">
        <v>35</v>
      </c>
      <c r="D19" s="66">
        <v>1</v>
      </c>
      <c r="E19" s="66">
        <v>1</v>
      </c>
      <c r="F19" s="66">
        <v>2</v>
      </c>
      <c r="G19" s="66">
        <v>1</v>
      </c>
      <c r="H19" s="157">
        <v>1</v>
      </c>
      <c r="I19" s="157">
        <v>1</v>
      </c>
      <c r="J19" s="157">
        <v>1</v>
      </c>
      <c r="K19" s="157">
        <v>1</v>
      </c>
      <c r="L19" s="157">
        <v>1</v>
      </c>
      <c r="M19" s="157">
        <v>1</v>
      </c>
      <c r="N19" s="157">
        <v>2</v>
      </c>
      <c r="O19" s="157">
        <v>2</v>
      </c>
      <c r="P19" s="157">
        <v>2</v>
      </c>
      <c r="Q19" s="157">
        <v>1</v>
      </c>
      <c r="R19" s="157">
        <v>1</v>
      </c>
      <c r="S19" s="157">
        <v>1</v>
      </c>
      <c r="T19" s="157">
        <v>1</v>
      </c>
      <c r="U19" s="157">
        <v>1</v>
      </c>
      <c r="V19" s="157">
        <v>1</v>
      </c>
      <c r="W19" s="157">
        <v>1</v>
      </c>
      <c r="X19" s="157">
        <v>1</v>
      </c>
      <c r="Y19" s="157">
        <v>1</v>
      </c>
      <c r="Z19" s="157">
        <v>1</v>
      </c>
      <c r="AA19" s="157">
        <v>1</v>
      </c>
      <c r="AB19" s="157">
        <v>1</v>
      </c>
      <c r="AC19" s="157">
        <v>1</v>
      </c>
      <c r="AD19" s="157">
        <v>4</v>
      </c>
      <c r="AE19" s="157">
        <v>4</v>
      </c>
      <c r="AF19" s="156">
        <v>1</v>
      </c>
      <c r="AG19" s="156">
        <v>1</v>
      </c>
      <c r="AH19" s="156">
        <v>1</v>
      </c>
      <c r="AI19" s="273"/>
      <c r="AJ19" s="97"/>
      <c r="AK19" s="97"/>
      <c r="AL19" s="97"/>
      <c r="AM19" s="97"/>
    </row>
    <row r="20" spans="1:39" x14ac:dyDescent="0.35">
      <c r="A20" s="139">
        <v>12</v>
      </c>
      <c r="B20" s="137" t="s">
        <v>36</v>
      </c>
      <c r="C20" s="96" t="s">
        <v>28</v>
      </c>
      <c r="D20" s="66">
        <v>4</v>
      </c>
      <c r="E20" s="66">
        <v>4</v>
      </c>
      <c r="F20" s="66">
        <v>4</v>
      </c>
      <c r="G20" s="66">
        <v>4</v>
      </c>
      <c r="H20" s="157">
        <v>1</v>
      </c>
      <c r="I20" s="157">
        <v>1</v>
      </c>
      <c r="J20" s="157">
        <v>2</v>
      </c>
      <c r="K20" s="157">
        <v>4</v>
      </c>
      <c r="L20" s="157">
        <v>4</v>
      </c>
      <c r="M20" s="157">
        <v>4</v>
      </c>
      <c r="N20" s="157">
        <v>4</v>
      </c>
      <c r="O20" s="157">
        <v>4</v>
      </c>
      <c r="P20" s="157">
        <v>4</v>
      </c>
      <c r="Q20" s="157">
        <v>1</v>
      </c>
      <c r="R20" s="157">
        <v>2</v>
      </c>
      <c r="S20" s="157">
        <v>4</v>
      </c>
      <c r="T20" s="157">
        <v>4</v>
      </c>
      <c r="U20" s="157">
        <v>1</v>
      </c>
      <c r="V20" s="157">
        <v>1</v>
      </c>
      <c r="W20" s="157">
        <v>1</v>
      </c>
      <c r="X20" s="157">
        <v>4</v>
      </c>
      <c r="Y20" s="157">
        <v>4</v>
      </c>
      <c r="Z20" s="157">
        <v>4</v>
      </c>
      <c r="AA20" s="157">
        <v>4</v>
      </c>
      <c r="AB20" s="157">
        <v>1</v>
      </c>
      <c r="AC20" s="157">
        <v>4</v>
      </c>
      <c r="AD20" s="157">
        <v>4</v>
      </c>
      <c r="AE20" s="157">
        <v>4</v>
      </c>
      <c r="AF20" s="156">
        <v>2</v>
      </c>
      <c r="AG20" s="156">
        <v>2</v>
      </c>
      <c r="AH20" s="156">
        <v>4</v>
      </c>
      <c r="AI20" s="273"/>
      <c r="AJ20" s="97"/>
      <c r="AK20" s="97"/>
      <c r="AL20" s="97"/>
      <c r="AM20" s="97"/>
    </row>
    <row r="21" spans="1:39" x14ac:dyDescent="0.35">
      <c r="A21" s="139">
        <v>13</v>
      </c>
      <c r="B21" s="137" t="s">
        <v>37</v>
      </c>
      <c r="C21" s="96" t="s">
        <v>28</v>
      </c>
      <c r="D21" s="66">
        <v>1</v>
      </c>
      <c r="E21" s="66">
        <v>1</v>
      </c>
      <c r="F21" s="66">
        <v>4</v>
      </c>
      <c r="G21" s="127">
        <v>1</v>
      </c>
      <c r="H21" s="127">
        <v>1</v>
      </c>
      <c r="I21" s="157">
        <v>1</v>
      </c>
      <c r="J21" s="157">
        <v>1</v>
      </c>
      <c r="K21" s="157">
        <v>4</v>
      </c>
      <c r="L21" s="157">
        <v>1</v>
      </c>
      <c r="M21" s="157">
        <v>1</v>
      </c>
      <c r="N21" s="157">
        <v>1</v>
      </c>
      <c r="O21" s="157">
        <v>1</v>
      </c>
      <c r="P21" s="157">
        <v>1</v>
      </c>
      <c r="Q21" s="157">
        <v>1</v>
      </c>
      <c r="R21" s="157">
        <v>1</v>
      </c>
      <c r="S21" s="157">
        <v>1</v>
      </c>
      <c r="T21" s="157">
        <v>1</v>
      </c>
      <c r="U21" s="157">
        <v>1</v>
      </c>
      <c r="V21" s="157">
        <v>1</v>
      </c>
      <c r="W21" s="157">
        <v>1</v>
      </c>
      <c r="X21" s="157">
        <v>4</v>
      </c>
      <c r="Y21" s="157">
        <v>4</v>
      </c>
      <c r="Z21" s="157">
        <v>4</v>
      </c>
      <c r="AA21" s="157">
        <v>1</v>
      </c>
      <c r="AB21" s="157">
        <v>1</v>
      </c>
      <c r="AC21" s="157">
        <v>1</v>
      </c>
      <c r="AD21" s="157">
        <v>2</v>
      </c>
      <c r="AE21" s="157">
        <v>1</v>
      </c>
      <c r="AF21" s="156">
        <v>1</v>
      </c>
      <c r="AG21" s="156">
        <v>4</v>
      </c>
      <c r="AH21" s="156">
        <v>3</v>
      </c>
      <c r="AI21" s="273"/>
      <c r="AJ21" s="97"/>
      <c r="AK21" s="97"/>
      <c r="AL21" s="97"/>
      <c r="AM21" s="97"/>
    </row>
    <row r="22" spans="1:39" x14ac:dyDescent="0.35">
      <c r="A22" s="139">
        <v>14</v>
      </c>
      <c r="B22" s="137" t="s">
        <v>38</v>
      </c>
      <c r="C22" s="98" t="s">
        <v>39</v>
      </c>
      <c r="D22" s="66">
        <v>1</v>
      </c>
      <c r="E22" s="66">
        <v>2</v>
      </c>
      <c r="F22" s="66">
        <v>2</v>
      </c>
      <c r="G22" s="158">
        <v>1</v>
      </c>
      <c r="H22" s="127">
        <v>1</v>
      </c>
      <c r="I22" s="157">
        <v>1</v>
      </c>
      <c r="J22" s="157">
        <v>1</v>
      </c>
      <c r="K22" s="157">
        <v>1</v>
      </c>
      <c r="L22" s="157">
        <v>2</v>
      </c>
      <c r="M22" s="157">
        <v>2</v>
      </c>
      <c r="N22" s="157">
        <v>2</v>
      </c>
      <c r="O22" s="157">
        <v>2</v>
      </c>
      <c r="P22" s="157">
        <v>2</v>
      </c>
      <c r="Q22" s="157">
        <v>1</v>
      </c>
      <c r="R22" s="157">
        <v>1</v>
      </c>
      <c r="S22" s="157">
        <v>2</v>
      </c>
      <c r="T22" s="157">
        <v>2</v>
      </c>
      <c r="U22" s="157">
        <v>1</v>
      </c>
      <c r="V22" s="157">
        <v>2</v>
      </c>
      <c r="W22" s="157">
        <v>1</v>
      </c>
      <c r="X22" s="157">
        <v>2</v>
      </c>
      <c r="Y22" s="157">
        <v>2</v>
      </c>
      <c r="Z22" s="157">
        <v>2</v>
      </c>
      <c r="AA22" s="157">
        <v>2</v>
      </c>
      <c r="AB22" s="157">
        <v>1</v>
      </c>
      <c r="AC22" s="157">
        <v>1</v>
      </c>
      <c r="AD22" s="157">
        <v>1</v>
      </c>
      <c r="AE22" s="157">
        <v>1</v>
      </c>
      <c r="AF22" s="156">
        <v>1</v>
      </c>
      <c r="AG22" s="156">
        <v>2</v>
      </c>
      <c r="AH22" s="156">
        <v>1</v>
      </c>
      <c r="AI22" s="72"/>
      <c r="AJ22" s="72"/>
      <c r="AK22" s="72"/>
      <c r="AL22" s="72"/>
      <c r="AM22" s="72"/>
    </row>
    <row r="23" spans="1:39" ht="13.15" x14ac:dyDescent="0.35">
      <c r="A23" s="139">
        <v>15</v>
      </c>
      <c r="B23" s="137" t="s">
        <v>40</v>
      </c>
      <c r="C23" s="98" t="s">
        <v>28</v>
      </c>
      <c r="D23" s="127">
        <v>3</v>
      </c>
      <c r="E23" s="127">
        <v>2</v>
      </c>
      <c r="F23" s="127">
        <v>1</v>
      </c>
      <c r="G23" s="68">
        <v>1</v>
      </c>
      <c r="H23" s="127">
        <v>1</v>
      </c>
      <c r="I23" s="157">
        <v>2</v>
      </c>
      <c r="J23" s="157">
        <v>2</v>
      </c>
      <c r="K23" s="157">
        <v>2</v>
      </c>
      <c r="L23" s="157">
        <v>2</v>
      </c>
      <c r="M23" s="157">
        <v>2</v>
      </c>
      <c r="N23" s="157">
        <v>2</v>
      </c>
      <c r="O23" s="157">
        <v>2</v>
      </c>
      <c r="P23" s="157">
        <v>2</v>
      </c>
      <c r="Q23" s="157">
        <v>1</v>
      </c>
      <c r="R23" s="157">
        <v>2</v>
      </c>
      <c r="S23" s="157">
        <v>1</v>
      </c>
      <c r="T23" s="157">
        <v>3</v>
      </c>
      <c r="U23" s="157">
        <v>3</v>
      </c>
      <c r="V23" s="157">
        <v>3</v>
      </c>
      <c r="W23" s="157">
        <v>1</v>
      </c>
      <c r="X23" s="157">
        <v>3</v>
      </c>
      <c r="Y23" s="157">
        <v>4</v>
      </c>
      <c r="Z23" s="157">
        <v>4</v>
      </c>
      <c r="AA23" s="157">
        <v>4</v>
      </c>
      <c r="AB23" s="157">
        <v>1</v>
      </c>
      <c r="AC23" s="157">
        <v>1</v>
      </c>
      <c r="AD23" s="157">
        <v>3</v>
      </c>
      <c r="AE23" s="157">
        <v>3</v>
      </c>
      <c r="AF23" s="156">
        <v>4</v>
      </c>
      <c r="AG23" s="156">
        <v>2</v>
      </c>
      <c r="AH23" s="156">
        <v>2</v>
      </c>
      <c r="AI23" s="72"/>
      <c r="AJ23" s="72"/>
      <c r="AK23" s="72"/>
      <c r="AL23" s="72"/>
      <c r="AM23" s="72"/>
    </row>
    <row r="24" spans="1:39" x14ac:dyDescent="0.35">
      <c r="A24" s="139">
        <v>16</v>
      </c>
      <c r="B24" s="137" t="s">
        <v>41</v>
      </c>
      <c r="C24" s="98" t="s">
        <v>28</v>
      </c>
      <c r="D24" s="127">
        <v>4</v>
      </c>
      <c r="E24" s="127">
        <v>4</v>
      </c>
      <c r="F24" s="127">
        <v>4</v>
      </c>
      <c r="G24" s="158">
        <v>4</v>
      </c>
      <c r="H24" s="158">
        <v>4</v>
      </c>
      <c r="I24" s="158">
        <v>4</v>
      </c>
      <c r="J24" s="157">
        <v>4</v>
      </c>
      <c r="K24" s="157">
        <v>4</v>
      </c>
      <c r="L24" s="157">
        <v>4</v>
      </c>
      <c r="M24" s="157">
        <v>4</v>
      </c>
      <c r="N24" s="157">
        <v>4</v>
      </c>
      <c r="O24" s="157">
        <v>4</v>
      </c>
      <c r="P24" s="157">
        <v>4</v>
      </c>
      <c r="Q24" s="157">
        <v>4</v>
      </c>
      <c r="R24" s="157">
        <v>4</v>
      </c>
      <c r="S24" s="157">
        <v>4</v>
      </c>
      <c r="T24" s="157">
        <v>2</v>
      </c>
      <c r="U24" s="157">
        <v>4</v>
      </c>
      <c r="V24" s="157">
        <v>4</v>
      </c>
      <c r="W24" s="157">
        <v>4</v>
      </c>
      <c r="X24" s="157">
        <v>4</v>
      </c>
      <c r="Y24" s="157">
        <v>3</v>
      </c>
      <c r="Z24" s="157">
        <v>4</v>
      </c>
      <c r="AA24" s="157">
        <v>3</v>
      </c>
      <c r="AB24" s="157">
        <v>4</v>
      </c>
      <c r="AC24" s="157">
        <v>4</v>
      </c>
      <c r="AD24" s="157">
        <v>4</v>
      </c>
      <c r="AE24" s="157">
        <v>4</v>
      </c>
      <c r="AF24" s="156">
        <v>4</v>
      </c>
      <c r="AG24" s="156">
        <v>3</v>
      </c>
      <c r="AH24" s="156">
        <v>4</v>
      </c>
      <c r="AI24" s="72"/>
      <c r="AJ24" s="72"/>
      <c r="AK24" s="72"/>
      <c r="AL24" s="72"/>
      <c r="AM24" s="72"/>
    </row>
    <row r="25" spans="1:39" ht="13.15" thickBot="1" x14ac:dyDescent="0.4">
      <c r="A25" s="140">
        <v>17</v>
      </c>
      <c r="B25" s="138" t="s">
        <v>42</v>
      </c>
      <c r="C25" s="99" t="s">
        <v>28</v>
      </c>
      <c r="D25" s="127">
        <v>3</v>
      </c>
      <c r="E25" s="127">
        <v>4</v>
      </c>
      <c r="F25" s="127">
        <v>4</v>
      </c>
      <c r="G25" s="158">
        <v>3</v>
      </c>
      <c r="H25" s="158">
        <v>3</v>
      </c>
      <c r="I25" s="158">
        <v>3</v>
      </c>
      <c r="J25" s="157">
        <v>3</v>
      </c>
      <c r="K25" s="157">
        <v>4</v>
      </c>
      <c r="L25" s="157">
        <v>4</v>
      </c>
      <c r="M25" s="157">
        <v>4</v>
      </c>
      <c r="N25" s="157">
        <v>4</v>
      </c>
      <c r="O25" s="157">
        <v>4</v>
      </c>
      <c r="P25" s="157">
        <v>4</v>
      </c>
      <c r="Q25" s="157">
        <v>4</v>
      </c>
      <c r="R25" s="157">
        <v>4</v>
      </c>
      <c r="S25" s="157">
        <v>4</v>
      </c>
      <c r="T25" s="157">
        <v>2</v>
      </c>
      <c r="U25" s="157">
        <v>4</v>
      </c>
      <c r="V25" s="157">
        <v>4</v>
      </c>
      <c r="W25" s="157">
        <v>4</v>
      </c>
      <c r="X25" s="157">
        <v>3</v>
      </c>
      <c r="Y25" s="157">
        <v>3</v>
      </c>
      <c r="Z25" s="157">
        <v>3</v>
      </c>
      <c r="AA25" s="157">
        <v>3</v>
      </c>
      <c r="AB25" s="157">
        <v>4</v>
      </c>
      <c r="AC25" s="157">
        <v>4</v>
      </c>
      <c r="AD25" s="157">
        <v>4</v>
      </c>
      <c r="AE25" s="157">
        <v>4</v>
      </c>
      <c r="AF25" s="156">
        <v>4</v>
      </c>
      <c r="AG25" s="156">
        <v>3</v>
      </c>
      <c r="AH25" s="156">
        <v>4</v>
      </c>
      <c r="AI25" s="72"/>
      <c r="AJ25" s="72"/>
      <c r="AK25" s="72"/>
      <c r="AL25" s="72"/>
      <c r="AM25" s="72"/>
    </row>
    <row r="26" spans="1:39" x14ac:dyDescent="0.35">
      <c r="A26" s="72"/>
      <c r="G26" s="19"/>
      <c r="H26" s="19"/>
      <c r="I26" s="19"/>
      <c r="J26" s="1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</row>
    <row r="27" spans="1:39" x14ac:dyDescent="0.35">
      <c r="A27" s="72"/>
      <c r="G27" s="19"/>
      <c r="H27" s="19"/>
      <c r="I27" s="19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</row>
    <row r="28" spans="1:39" x14ac:dyDescent="0.35">
      <c r="A28" s="72"/>
      <c r="G28" s="19"/>
      <c r="H28" s="19"/>
      <c r="I28" s="19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</row>
    <row r="29" spans="1:39" x14ac:dyDescent="0.35">
      <c r="A29" s="72"/>
      <c r="G29" s="19"/>
      <c r="H29" s="19"/>
      <c r="I29" s="19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</row>
    <row r="30" spans="1:39" x14ac:dyDescent="0.35">
      <c r="A30" s="72"/>
      <c r="G30" s="19"/>
      <c r="H30" s="19"/>
      <c r="I30" s="19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H30" s="72"/>
      <c r="AI30" s="72"/>
      <c r="AJ30" s="72"/>
      <c r="AK30" s="72"/>
      <c r="AL30" s="72"/>
      <c r="AM30" s="72"/>
    </row>
    <row r="31" spans="1:39" x14ac:dyDescent="0.35">
      <c r="A31" s="72"/>
      <c r="G31" s="19"/>
      <c r="H31" s="19"/>
      <c r="I31" s="19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</row>
    <row r="32" spans="1:39" x14ac:dyDescent="0.35">
      <c r="A32" s="72"/>
      <c r="G32" s="19"/>
      <c r="H32" s="19"/>
      <c r="I32" s="19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2"/>
      <c r="AM32" s="72"/>
    </row>
    <row r="33" spans="3:10" x14ac:dyDescent="0.35">
      <c r="G33" s="19"/>
      <c r="H33" s="19"/>
      <c r="I33" s="19"/>
    </row>
    <row r="34" spans="3:10" x14ac:dyDescent="0.35">
      <c r="G34" s="19"/>
      <c r="H34" s="19"/>
      <c r="I34" s="19"/>
    </row>
    <row r="35" spans="3:10" x14ac:dyDescent="0.35">
      <c r="G35" s="19"/>
      <c r="H35" s="19"/>
      <c r="I35" s="19"/>
    </row>
    <row r="36" spans="3:10" x14ac:dyDescent="0.35">
      <c r="G36" s="19"/>
      <c r="H36" s="19"/>
      <c r="I36" s="19"/>
    </row>
    <row r="38" spans="3:10" ht="13.15" x14ac:dyDescent="0.35">
      <c r="C38" s="8"/>
      <c r="D38" s="9"/>
      <c r="H38" s="13"/>
      <c r="I38" s="11"/>
      <c r="J38" s="12"/>
    </row>
    <row r="55" spans="2:8" x14ac:dyDescent="0.35">
      <c r="H55" s="3"/>
    </row>
    <row r="56" spans="2:8" x14ac:dyDescent="0.35">
      <c r="G56" s="6"/>
    </row>
    <row r="57" spans="2:8" x14ac:dyDescent="0.35">
      <c r="B57" s="10"/>
    </row>
  </sheetData>
  <mergeCells count="3">
    <mergeCell ref="A7:B7"/>
    <mergeCell ref="D7:F7"/>
    <mergeCell ref="A8:B8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81"/>
  <sheetViews>
    <sheetView topLeftCell="G13" workbookViewId="0">
      <selection activeCell="B65" sqref="B65"/>
    </sheetView>
  </sheetViews>
  <sheetFormatPr defaultRowHeight="12.75" x14ac:dyDescent="0.35"/>
  <cols>
    <col min="2" max="2" width="55.1328125" customWidth="1"/>
    <col min="3" max="3" width="10.59765625" customWidth="1"/>
  </cols>
  <sheetData>
    <row r="1" spans="1:10" s="57" customFormat="1" ht="13.15" x14ac:dyDescent="0.35">
      <c r="A1" s="15" t="s">
        <v>80</v>
      </c>
      <c r="C1" s="16"/>
      <c r="D1" s="16"/>
      <c r="E1" s="16"/>
      <c r="F1" s="16"/>
      <c r="G1" s="16"/>
      <c r="H1" s="16"/>
      <c r="I1" s="58"/>
      <c r="J1" s="59"/>
    </row>
    <row r="25" spans="1:33" x14ac:dyDescent="0.35">
      <c r="A25" s="72"/>
      <c r="B25" s="72" t="s">
        <v>81</v>
      </c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</row>
    <row r="27" spans="1:33" x14ac:dyDescent="0.35">
      <c r="A27" s="72" t="s">
        <v>82</v>
      </c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</row>
    <row r="28" spans="1:33" ht="13.15" x14ac:dyDescent="0.35">
      <c r="A28" s="350" t="s">
        <v>83</v>
      </c>
      <c r="B28" s="351"/>
      <c r="C28" s="349" t="s">
        <v>84</v>
      </c>
      <c r="D28" s="349"/>
      <c r="E28" s="349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</row>
    <row r="29" spans="1:33" ht="13.15" x14ac:dyDescent="0.35">
      <c r="A29" s="23"/>
      <c r="B29" s="23"/>
      <c r="C29" s="318" t="str">
        <f>background_calculations!E27</f>
        <v>Fish survey</v>
      </c>
      <c r="D29" s="318" t="str">
        <f>background_calculations!F27</f>
        <v>Waterfowl survey</v>
      </c>
      <c r="E29" s="318" t="str">
        <f>background_calculations!G27</f>
        <v>Marshbird Survey</v>
      </c>
      <c r="F29" s="72" t="str">
        <f>background_calculations!H27</f>
        <v>Fox Snake Survey</v>
      </c>
      <c r="G29" s="72" t="str">
        <f>background_calculations!I27</f>
        <v>Blanding's Turtle Survey</v>
      </c>
      <c r="H29" s="72" t="str">
        <f>background_calculations!J27</f>
        <v>Northern Flicker Survey</v>
      </c>
      <c r="I29" s="72" t="str">
        <f>background_calculations!K27</f>
        <v>Rusty Blackbird Survey</v>
      </c>
      <c r="J29" s="72" t="str">
        <f>background_calculations!L27</f>
        <v>American Woodcock Survey</v>
      </c>
      <c r="K29" s="72" t="str">
        <f>background_calculations!M27</f>
        <v>Shorebird Survey</v>
      </c>
      <c r="L29" s="72" t="str">
        <f>background_calculations!N27</f>
        <v>Treatment Evaluation of Phragmites, invasive cattail, reed canary grass</v>
      </c>
      <c r="M29" s="72" t="str">
        <f>background_calculations!O27</f>
        <v>Wetland Vegetation Cover Survey with annual summary of mean daily Lake Erie water level/water level management.</v>
      </c>
      <c r="N29" s="72" t="str">
        <f>background_calculations!P27</f>
        <v>Eastern Prairie Fringed Orchid</v>
      </c>
      <c r="O29" s="72" t="str">
        <f>background_calculations!Q27</f>
        <v>Wet Prairie Monitoring</v>
      </c>
      <c r="P29" s="72" t="str">
        <f>background_calculations!R27</f>
        <v>Gibraltar Wetlands Forest Invasives Inventory</v>
      </c>
      <c r="Q29" s="72" t="str">
        <f>background_calculations!S27</f>
        <v>Humbug Marsh Deer Browse Evaluation</v>
      </c>
      <c r="R29" s="72" t="str">
        <f>background_calculations!T27</f>
        <v xml:space="preserve">Phragmites Reduction: Comparison via remote-sensing of 2017 Imagery to 2009 Baseline </v>
      </c>
      <c r="S29" s="72" t="str">
        <f>background_calculations!U27</f>
        <v>Multi-agency water quality in the lower Detroit River and the western Lake Erie basin.</v>
      </c>
      <c r="T29" s="72" t="str">
        <f>background_calculations!V27</f>
        <v>Muskrat Monitoring</v>
      </c>
      <c r="U29" s="72" t="str">
        <f>background_calculations!W27</f>
        <v>Impoundment water levels</v>
      </c>
      <c r="V29" s="72" t="str">
        <f>background_calculations!X27</f>
        <v>Forest Ecological Inventory</v>
      </c>
      <c r="W29" s="72" t="str">
        <f>background_calculations!Y27</f>
        <v>Bald Eagle Monitoring</v>
      </c>
      <c r="X29" s="72" t="str">
        <f>background_calculations!Z27</f>
        <v>Coordinated Canvasback Survey</v>
      </c>
      <c r="Y29" s="72" t="str">
        <f>background_calculations!AA27</f>
        <v>Lower Great Lakes January Waterfowl Survey (as part of Mid-Winter Waterfowl Survey)</v>
      </c>
      <c r="Z29" s="72" t="str">
        <f>background_calculations!AB27</f>
        <v xml:space="preserve">Lake sturgeon </v>
      </c>
      <c r="AA29" s="72" t="str">
        <f>background_calculations!AC27</f>
        <v>HGM</v>
      </c>
      <c r="AB29" s="72" t="str">
        <f>background_calculations!AD27</f>
        <v>Grassy Island ground water monitoring</v>
      </c>
      <c r="AC29" s="72" t="str">
        <f>background_calculations!AE27</f>
        <v>NOAA lake level monitoring</v>
      </c>
      <c r="AD29" s="72" t="str">
        <f>background_calculations!AF27</f>
        <v>USGS stream gauge monitoring</v>
      </c>
      <c r="AE29" s="72" t="str">
        <f>background_calculations!AG27</f>
        <v>Aerial Deer Survey</v>
      </c>
      <c r="AF29" s="72" t="str">
        <f>background_calculations!AH27</f>
        <v>Detroit River Hawk Watch</v>
      </c>
      <c r="AG29" s="72" t="str">
        <f>background_calculations!AI27</f>
        <v>Common Tern Monitoring</v>
      </c>
    </row>
    <row r="30" spans="1:33" x14ac:dyDescent="0.35">
      <c r="A30" s="135">
        <v>1</v>
      </c>
      <c r="B30" s="136" t="s">
        <v>22</v>
      </c>
      <c r="C30" s="49">
        <f>background_calculations!E28</f>
        <v>0</v>
      </c>
      <c r="D30" s="49">
        <f>background_calculations!F28</f>
        <v>0</v>
      </c>
      <c r="E30" s="49">
        <f>background_calculations!G28</f>
        <v>0</v>
      </c>
      <c r="F30" s="72">
        <f>background_calculations!H28</f>
        <v>0</v>
      </c>
      <c r="G30" s="72">
        <f>background_calculations!I28</f>
        <v>0</v>
      </c>
      <c r="H30" s="72">
        <f>background_calculations!J28</f>
        <v>0</v>
      </c>
      <c r="I30" s="72">
        <f>background_calculations!K28</f>
        <v>0</v>
      </c>
      <c r="J30" s="72">
        <f>background_calculations!L28</f>
        <v>0</v>
      </c>
      <c r="K30" s="72">
        <f>background_calculations!M28</f>
        <v>0</v>
      </c>
      <c r="L30" s="72">
        <f>background_calculations!N28</f>
        <v>0</v>
      </c>
      <c r="M30" s="72">
        <f>background_calculations!O28</f>
        <v>0</v>
      </c>
      <c r="N30" s="72">
        <f>background_calculations!P28</f>
        <v>0</v>
      </c>
      <c r="O30" s="72">
        <f>background_calculations!Q28</f>
        <v>0</v>
      </c>
      <c r="P30" s="72">
        <f>background_calculations!R28</f>
        <v>0</v>
      </c>
      <c r="Q30" s="72">
        <f>background_calculations!S28</f>
        <v>0</v>
      </c>
      <c r="R30" s="72">
        <f>background_calculations!T28</f>
        <v>0</v>
      </c>
      <c r="S30" s="72">
        <f>background_calculations!U28</f>
        <v>0</v>
      </c>
      <c r="T30" s="72">
        <f>background_calculations!V28</f>
        <v>0</v>
      </c>
      <c r="U30" s="72">
        <f>background_calculations!W28</f>
        <v>0</v>
      </c>
      <c r="V30" s="72">
        <f>background_calculations!X28</f>
        <v>0</v>
      </c>
      <c r="W30" s="72">
        <f>background_calculations!Y28</f>
        <v>0</v>
      </c>
      <c r="X30" s="72">
        <f>background_calculations!Z28</f>
        <v>0</v>
      </c>
      <c r="Y30" s="72">
        <f>background_calculations!AA28</f>
        <v>0</v>
      </c>
      <c r="Z30" s="72">
        <f>background_calculations!AB28</f>
        <v>0</v>
      </c>
      <c r="AA30" s="72">
        <f>background_calculations!AC28</f>
        <v>0</v>
      </c>
      <c r="AB30" s="72">
        <f>background_calculations!AD28</f>
        <v>0</v>
      </c>
      <c r="AC30" s="72">
        <f>background_calculations!AE28</f>
        <v>0</v>
      </c>
      <c r="AD30" s="72">
        <f>background_calculations!AF28</f>
        <v>0</v>
      </c>
      <c r="AE30" s="72">
        <f>background_calculations!AG28</f>
        <v>0</v>
      </c>
      <c r="AF30" s="72">
        <f>background_calculations!AH28</f>
        <v>0</v>
      </c>
      <c r="AG30" s="72">
        <f>background_calculations!AI28</f>
        <v>0</v>
      </c>
    </row>
    <row r="31" spans="1:33" x14ac:dyDescent="0.35">
      <c r="A31" s="135">
        <v>2</v>
      </c>
      <c r="B31" s="136" t="s">
        <v>24</v>
      </c>
      <c r="C31" s="49">
        <f>background_calculations!E29</f>
        <v>5.4229934924078092E-2</v>
      </c>
      <c r="D31" s="49">
        <f>background_calculations!F29</f>
        <v>5.4229934924078092E-2</v>
      </c>
      <c r="E31" s="49">
        <f>background_calculations!G29</f>
        <v>5.4229934924078092E-2</v>
      </c>
      <c r="F31" s="72">
        <f>background_calculations!H29</f>
        <v>5.4229934924078092E-2</v>
      </c>
      <c r="G31" s="72">
        <f>background_calculations!I29</f>
        <v>5.4229934924078092E-2</v>
      </c>
      <c r="H31" s="72">
        <f>background_calculations!J29</f>
        <v>5.4229934924078092E-2</v>
      </c>
      <c r="I31" s="72">
        <f>background_calculations!K29</f>
        <v>5.4229934924078092E-2</v>
      </c>
      <c r="J31" s="72">
        <f>background_calculations!L29</f>
        <v>5.4229934924078092E-2</v>
      </c>
      <c r="K31" s="72">
        <f>background_calculations!M29</f>
        <v>5.4229934924078092E-2</v>
      </c>
      <c r="L31" s="72">
        <f>background_calculations!N29</f>
        <v>0</v>
      </c>
      <c r="M31" s="72">
        <f>background_calculations!O29</f>
        <v>5.4229934924078092E-2</v>
      </c>
      <c r="N31" s="72">
        <f>background_calculations!P29</f>
        <v>5.4229934924078092E-2</v>
      </c>
      <c r="O31" s="72">
        <f>background_calculations!Q29</f>
        <v>5.4229934924078092E-2</v>
      </c>
      <c r="P31" s="72">
        <f>background_calculations!R29</f>
        <v>5.4229934924078092E-2</v>
      </c>
      <c r="Q31" s="72">
        <f>background_calculations!S29</f>
        <v>0</v>
      </c>
      <c r="R31" s="72">
        <f>background_calculations!T29</f>
        <v>0</v>
      </c>
      <c r="S31" s="72">
        <f>background_calculations!U29</f>
        <v>0</v>
      </c>
      <c r="T31" s="72">
        <f>background_calculations!V29</f>
        <v>0</v>
      </c>
      <c r="U31" s="72">
        <f>background_calculations!W29</f>
        <v>5.4229934924078092E-2</v>
      </c>
      <c r="V31" s="72">
        <f>background_calculations!X29</f>
        <v>5.4229934924078092E-2</v>
      </c>
      <c r="W31" s="72">
        <f>background_calculations!Y29</f>
        <v>5.4229934924078092E-2</v>
      </c>
      <c r="X31" s="72">
        <f>background_calculations!Z29</f>
        <v>5.4229934924078092E-2</v>
      </c>
      <c r="Y31" s="72">
        <f>background_calculations!AA29</f>
        <v>5.4229934924078092E-2</v>
      </c>
      <c r="Z31" s="72">
        <f>background_calculations!AB29</f>
        <v>5.4229934924078092E-2</v>
      </c>
      <c r="AA31" s="72">
        <f>background_calculations!AC29</f>
        <v>5.4229934924078092E-2</v>
      </c>
      <c r="AB31" s="72">
        <f>background_calculations!AD29</f>
        <v>5.4229934924078092E-2</v>
      </c>
      <c r="AC31" s="72">
        <f>background_calculations!AE29</f>
        <v>5.4229934924078092E-2</v>
      </c>
      <c r="AD31" s="72">
        <f>background_calculations!AF29</f>
        <v>5.4229934924078092E-2</v>
      </c>
      <c r="AE31" s="72">
        <f>background_calculations!AG29</f>
        <v>0</v>
      </c>
      <c r="AF31" s="72">
        <f>background_calculations!AH29</f>
        <v>0</v>
      </c>
      <c r="AG31" s="72">
        <f>background_calculations!AI29</f>
        <v>0</v>
      </c>
    </row>
    <row r="32" spans="1:33" x14ac:dyDescent="0.35">
      <c r="A32" s="135">
        <v>3</v>
      </c>
      <c r="B32" s="136" t="s">
        <v>25</v>
      </c>
      <c r="C32" s="49">
        <f>background_calculations!E30</f>
        <v>0</v>
      </c>
      <c r="D32" s="49">
        <f>background_calculations!F30</f>
        <v>7.2668112798264642E-2</v>
      </c>
      <c r="E32" s="49">
        <f>background_calculations!G30</f>
        <v>7.2668112798264642E-2</v>
      </c>
      <c r="F32" s="72">
        <f>background_calculations!H30</f>
        <v>0</v>
      </c>
      <c r="G32" s="72">
        <f>background_calculations!I30</f>
        <v>0</v>
      </c>
      <c r="H32" s="72">
        <f>background_calculations!J30</f>
        <v>0</v>
      </c>
      <c r="I32" s="72">
        <f>background_calculations!K30</f>
        <v>0</v>
      </c>
      <c r="J32" s="72">
        <f>background_calculations!L30</f>
        <v>0</v>
      </c>
      <c r="K32" s="72">
        <f>background_calculations!M30</f>
        <v>0</v>
      </c>
      <c r="L32" s="72">
        <f>background_calculations!N30</f>
        <v>7.2668112798264642E-2</v>
      </c>
      <c r="M32" s="72">
        <f>background_calculations!O30</f>
        <v>7.2668112798264642E-2</v>
      </c>
      <c r="N32" s="72">
        <f>background_calculations!P30</f>
        <v>7.2668112798264642E-2</v>
      </c>
      <c r="O32" s="72">
        <f>background_calculations!Q30</f>
        <v>7.2668112798264642E-2</v>
      </c>
      <c r="P32" s="72">
        <f>background_calculations!R30</f>
        <v>7.2668112798264642E-2</v>
      </c>
      <c r="Q32" s="72">
        <f>background_calculations!S30</f>
        <v>7.2668112798264642E-2</v>
      </c>
      <c r="R32" s="72">
        <f>background_calculations!T30</f>
        <v>7.2668112798264642E-2</v>
      </c>
      <c r="S32" s="72">
        <f>background_calculations!U30</f>
        <v>0</v>
      </c>
      <c r="T32" s="72">
        <f>background_calculations!V30</f>
        <v>7.2668112798264642E-2</v>
      </c>
      <c r="U32" s="72">
        <f>background_calculations!W30</f>
        <v>7.2668112798264642E-2</v>
      </c>
      <c r="V32" s="72">
        <f>background_calculations!X30</f>
        <v>7.2668112798264642E-2</v>
      </c>
      <c r="W32" s="72">
        <f>background_calculations!Y30</f>
        <v>0</v>
      </c>
      <c r="X32" s="72">
        <f>background_calculations!Z30</f>
        <v>0</v>
      </c>
      <c r="Y32" s="72">
        <f>background_calculations!AA30</f>
        <v>0</v>
      </c>
      <c r="Z32" s="72">
        <f>background_calculations!AB30</f>
        <v>0</v>
      </c>
      <c r="AA32" s="72">
        <f>background_calculations!AC30</f>
        <v>7.2668112798264642E-2</v>
      </c>
      <c r="AB32" s="72">
        <f>background_calculations!AD30</f>
        <v>7.2668112798264642E-2</v>
      </c>
      <c r="AC32" s="72">
        <f>background_calculations!AE30</f>
        <v>7.2668112798264642E-2</v>
      </c>
      <c r="AD32" s="72">
        <f>background_calculations!AF30</f>
        <v>7.2668112798264642E-2</v>
      </c>
      <c r="AE32" s="72">
        <f>background_calculations!AG30</f>
        <v>7.2668112798264642E-2</v>
      </c>
      <c r="AF32" s="72">
        <f>background_calculations!AH30</f>
        <v>0</v>
      </c>
      <c r="AG32" s="72">
        <f>background_calculations!AI30</f>
        <v>0</v>
      </c>
    </row>
    <row r="33" spans="1:33" x14ac:dyDescent="0.35">
      <c r="A33" s="135">
        <v>4</v>
      </c>
      <c r="B33" s="136" t="s">
        <v>26</v>
      </c>
      <c r="C33" s="49">
        <f>background_calculations!E31</f>
        <v>0</v>
      </c>
      <c r="D33" s="49">
        <f>background_calculations!F31</f>
        <v>0</v>
      </c>
      <c r="E33" s="49">
        <f>background_calculations!G31</f>
        <v>0</v>
      </c>
      <c r="F33" s="72">
        <f>background_calculations!H31</f>
        <v>0</v>
      </c>
      <c r="G33" s="72">
        <f>background_calculations!I31</f>
        <v>0</v>
      </c>
      <c r="H33" s="72">
        <f>background_calculations!J31</f>
        <v>0</v>
      </c>
      <c r="I33" s="72">
        <f>background_calculations!K31</f>
        <v>0</v>
      </c>
      <c r="J33" s="72">
        <f>background_calculations!L31</f>
        <v>0</v>
      </c>
      <c r="K33" s="72">
        <f>background_calculations!M31</f>
        <v>0</v>
      </c>
      <c r="L33" s="72">
        <f>background_calculations!N31</f>
        <v>0</v>
      </c>
      <c r="M33" s="72">
        <f>background_calculations!O31</f>
        <v>0</v>
      </c>
      <c r="N33" s="72">
        <f>background_calculations!P31</f>
        <v>0</v>
      </c>
      <c r="O33" s="72">
        <f>background_calculations!Q31</f>
        <v>0</v>
      </c>
      <c r="P33" s="72">
        <f>background_calculations!R31</f>
        <v>0</v>
      </c>
      <c r="Q33" s="72">
        <f>background_calculations!S31</f>
        <v>0</v>
      </c>
      <c r="R33" s="72">
        <f>background_calculations!T31</f>
        <v>3.5249457700650758E-2</v>
      </c>
      <c r="S33" s="72">
        <f>background_calculations!U31</f>
        <v>0</v>
      </c>
      <c r="T33" s="72">
        <f>background_calculations!V31</f>
        <v>0</v>
      </c>
      <c r="U33" s="72">
        <f>background_calculations!W31</f>
        <v>0</v>
      </c>
      <c r="V33" s="72">
        <f>background_calculations!X31</f>
        <v>0</v>
      </c>
      <c r="W33" s="72">
        <f>background_calculations!Y31</f>
        <v>0</v>
      </c>
      <c r="X33" s="72">
        <f>background_calculations!Z31</f>
        <v>0</v>
      </c>
      <c r="Y33" s="72">
        <f>background_calculations!AA31</f>
        <v>0</v>
      </c>
      <c r="Z33" s="72">
        <f>background_calculations!AB31</f>
        <v>0</v>
      </c>
      <c r="AA33" s="72">
        <f>background_calculations!AC31</f>
        <v>0</v>
      </c>
      <c r="AB33" s="72">
        <f>background_calculations!AD31</f>
        <v>3.5249457700650758E-2</v>
      </c>
      <c r="AC33" s="72">
        <f>background_calculations!AE31</f>
        <v>0</v>
      </c>
      <c r="AD33" s="72">
        <f>background_calculations!AF31</f>
        <v>0</v>
      </c>
      <c r="AE33" s="72">
        <f>background_calculations!AG31</f>
        <v>3.5249457700650758E-2</v>
      </c>
      <c r="AF33" s="72">
        <f>background_calculations!AH31</f>
        <v>0</v>
      </c>
      <c r="AG33" s="72">
        <f>background_calculations!AI31</f>
        <v>0</v>
      </c>
    </row>
    <row r="34" spans="1:33" x14ac:dyDescent="0.35">
      <c r="A34" s="135">
        <v>5</v>
      </c>
      <c r="B34" s="136" t="s">
        <v>27</v>
      </c>
      <c r="C34" s="49">
        <f>background_calculations!E32</f>
        <v>0</v>
      </c>
      <c r="D34" s="49">
        <f>background_calculations!F32</f>
        <v>0</v>
      </c>
      <c r="E34" s="49">
        <f>background_calculations!G32</f>
        <v>0</v>
      </c>
      <c r="F34" s="72">
        <f>background_calculations!H32</f>
        <v>0</v>
      </c>
      <c r="G34" s="72">
        <f>background_calculations!I32</f>
        <v>0</v>
      </c>
      <c r="H34" s="72">
        <f>background_calculations!J32</f>
        <v>0</v>
      </c>
      <c r="I34" s="72">
        <f>background_calculations!K32</f>
        <v>0</v>
      </c>
      <c r="J34" s="72">
        <f>background_calculations!L32</f>
        <v>0</v>
      </c>
      <c r="K34" s="72">
        <f>background_calculations!M32</f>
        <v>0</v>
      </c>
      <c r="L34" s="72">
        <f>background_calculations!N32</f>
        <v>4.7722342733188719E-2</v>
      </c>
      <c r="M34" s="72">
        <f>background_calculations!O32</f>
        <v>1.5907447577729571E-2</v>
      </c>
      <c r="N34" s="72">
        <f>background_calculations!P32</f>
        <v>0</v>
      </c>
      <c r="O34" s="72">
        <f>background_calculations!Q32</f>
        <v>1.5907447577729571E-2</v>
      </c>
      <c r="P34" s="72">
        <f>background_calculations!R32</f>
        <v>4.7722342733188719E-2</v>
      </c>
      <c r="Q34" s="72">
        <f>background_calculations!S32</f>
        <v>4.7722342733188719E-2</v>
      </c>
      <c r="R34" s="72">
        <f>background_calculations!T32</f>
        <v>4.7722342733188719E-2</v>
      </c>
      <c r="S34" s="72">
        <f>background_calculations!U32</f>
        <v>0</v>
      </c>
      <c r="T34" s="72">
        <f>background_calculations!V32</f>
        <v>0</v>
      </c>
      <c r="U34" s="72">
        <f>background_calculations!W32</f>
        <v>0</v>
      </c>
      <c r="V34" s="72">
        <f>background_calculations!X32</f>
        <v>1.5907447577729571E-2</v>
      </c>
      <c r="W34" s="72">
        <f>background_calculations!Y32</f>
        <v>0</v>
      </c>
      <c r="X34" s="72">
        <f>background_calculations!Z32</f>
        <v>0</v>
      </c>
      <c r="Y34" s="72">
        <f>background_calculations!AA32</f>
        <v>0</v>
      </c>
      <c r="Z34" s="72">
        <f>background_calculations!AB32</f>
        <v>0</v>
      </c>
      <c r="AA34" s="72">
        <f>background_calculations!AC32</f>
        <v>1.5907447577729571E-2</v>
      </c>
      <c r="AB34" s="72">
        <f>background_calculations!AD32</f>
        <v>1.5907447577729571E-2</v>
      </c>
      <c r="AC34" s="72">
        <f>background_calculations!AE32</f>
        <v>1.5907447577729571E-2</v>
      </c>
      <c r="AD34" s="72">
        <f>background_calculations!AF32</f>
        <v>1.5907447577729571E-2</v>
      </c>
      <c r="AE34" s="72">
        <f>background_calculations!AG32</f>
        <v>4.7722342733188719E-2</v>
      </c>
      <c r="AF34" s="72">
        <f>background_calculations!AH32</f>
        <v>0</v>
      </c>
      <c r="AG34" s="72">
        <f>background_calculations!AI32</f>
        <v>0</v>
      </c>
    </row>
    <row r="35" spans="1:33" s="72" customFormat="1" x14ac:dyDescent="0.35">
      <c r="A35" s="135">
        <v>6</v>
      </c>
      <c r="B35" s="136" t="s">
        <v>29</v>
      </c>
      <c r="C35" s="49">
        <f>background_calculations!E33</f>
        <v>6.2364425162689807E-2</v>
      </c>
      <c r="D35" s="49">
        <f>background_calculations!F33</f>
        <v>6.2364425162689807E-2</v>
      </c>
      <c r="E35" s="49">
        <f>background_calculations!G33</f>
        <v>6.2364425162689807E-2</v>
      </c>
      <c r="F35" s="72">
        <f>background_calculations!H33</f>
        <v>6.2364425162689807E-2</v>
      </c>
      <c r="G35" s="72">
        <f>background_calculations!I33</f>
        <v>6.2364425162689807E-2</v>
      </c>
      <c r="H35" s="72">
        <f>background_calculations!J33</f>
        <v>6.2364425162689807E-2</v>
      </c>
      <c r="I35" s="72">
        <f>background_calculations!K33</f>
        <v>6.2364425162689807E-2</v>
      </c>
      <c r="J35" s="72">
        <f>background_calculations!L33</f>
        <v>6.2364425162689807E-2</v>
      </c>
      <c r="K35" s="72">
        <f>background_calculations!M33</f>
        <v>6.2364425162689807E-2</v>
      </c>
      <c r="L35" s="72">
        <f>background_calculations!N33</f>
        <v>0</v>
      </c>
      <c r="M35" s="72">
        <f>background_calculations!O33</f>
        <v>6.2364425162689807E-2</v>
      </c>
      <c r="N35" s="72">
        <f>background_calculations!P33</f>
        <v>6.2364425162689807E-2</v>
      </c>
      <c r="O35" s="72">
        <f>background_calculations!Q33</f>
        <v>6.2364425162689807E-2</v>
      </c>
      <c r="P35" s="72">
        <f>background_calculations!R33</f>
        <v>6.2364425162689807E-2</v>
      </c>
      <c r="Q35" s="72">
        <f>background_calculations!S33</f>
        <v>6.2364425162689807E-2</v>
      </c>
      <c r="R35" s="72">
        <f>background_calculations!T33</f>
        <v>0</v>
      </c>
      <c r="S35" s="72">
        <f>background_calculations!U33</f>
        <v>6.2364425162689807E-2</v>
      </c>
      <c r="T35" s="72">
        <f>background_calculations!V33</f>
        <v>0</v>
      </c>
      <c r="U35" s="72">
        <f>background_calculations!W33</f>
        <v>0</v>
      </c>
      <c r="V35" s="72">
        <f>background_calculations!X33</f>
        <v>6.2364425162689807E-2</v>
      </c>
      <c r="W35" s="72">
        <f>background_calculations!Y33</f>
        <v>0</v>
      </c>
      <c r="X35" s="72">
        <f>background_calculations!Z33</f>
        <v>0</v>
      </c>
      <c r="Y35" s="72">
        <f>background_calculations!AA33</f>
        <v>0</v>
      </c>
      <c r="Z35" s="72">
        <f>background_calculations!AB33</f>
        <v>0</v>
      </c>
      <c r="AA35" s="72">
        <f>background_calculations!AC33</f>
        <v>6.2364425162689807E-2</v>
      </c>
      <c r="AB35" s="72">
        <f>background_calculations!AD33</f>
        <v>6.2364425162689807E-2</v>
      </c>
      <c r="AC35" s="72">
        <f>background_calculations!AE33</f>
        <v>6.2364425162689807E-2</v>
      </c>
      <c r="AD35" s="72">
        <f>background_calculations!AF33</f>
        <v>6.2364425162689807E-2</v>
      </c>
      <c r="AE35" s="72">
        <f>background_calculations!AG33</f>
        <v>6.2364425162689807E-2</v>
      </c>
      <c r="AF35" s="72">
        <f>background_calculations!AH33</f>
        <v>0</v>
      </c>
      <c r="AG35" s="72">
        <f>background_calculations!AI33</f>
        <v>0</v>
      </c>
    </row>
    <row r="36" spans="1:33" x14ac:dyDescent="0.35">
      <c r="A36" s="135">
        <v>7</v>
      </c>
      <c r="B36" s="136" t="s">
        <v>30</v>
      </c>
      <c r="C36" s="49">
        <f>background_calculations!E34</f>
        <v>1.4461315979754157E-2</v>
      </c>
      <c r="D36" s="49">
        <f>background_calculations!F34</f>
        <v>1.4461315979754157E-2</v>
      </c>
      <c r="E36" s="49">
        <f>background_calculations!G34</f>
        <v>1.4461315979754157E-2</v>
      </c>
      <c r="F36" s="72">
        <f>background_calculations!H34</f>
        <v>1.4461315979754157E-2</v>
      </c>
      <c r="G36" s="72">
        <f>background_calculations!I34</f>
        <v>0</v>
      </c>
      <c r="H36" s="72">
        <f>background_calculations!J34</f>
        <v>0</v>
      </c>
      <c r="I36" s="72">
        <f>background_calculations!K34</f>
        <v>0</v>
      </c>
      <c r="J36" s="72">
        <f>background_calculations!L34</f>
        <v>0</v>
      </c>
      <c r="K36" s="72">
        <f>background_calculations!M34</f>
        <v>0</v>
      </c>
      <c r="L36" s="72">
        <f>background_calculations!N34</f>
        <v>0</v>
      </c>
      <c r="M36" s="72">
        <f>background_calculations!O34</f>
        <v>0</v>
      </c>
      <c r="N36" s="72">
        <f>background_calculations!P34</f>
        <v>4.3383947939262472E-2</v>
      </c>
      <c r="O36" s="72">
        <f>background_calculations!Q34</f>
        <v>1.4461315979754157E-2</v>
      </c>
      <c r="P36" s="72">
        <f>background_calculations!R34</f>
        <v>0</v>
      </c>
      <c r="Q36" s="72">
        <f>background_calculations!S34</f>
        <v>0</v>
      </c>
      <c r="R36" s="72">
        <f>background_calculations!T34</f>
        <v>0</v>
      </c>
      <c r="S36" s="72">
        <f>background_calculations!U34</f>
        <v>0</v>
      </c>
      <c r="T36" s="72">
        <f>background_calculations!V34</f>
        <v>0</v>
      </c>
      <c r="U36" s="72">
        <f>background_calculations!W34</f>
        <v>0</v>
      </c>
      <c r="V36" s="72">
        <f>background_calculations!X34</f>
        <v>1.4461315979754157E-2</v>
      </c>
      <c r="W36" s="72">
        <f>background_calculations!Y34</f>
        <v>1.4461315979754157E-2</v>
      </c>
      <c r="X36" s="72">
        <f>background_calculations!Z34</f>
        <v>0</v>
      </c>
      <c r="Y36" s="72">
        <f>background_calculations!AA34</f>
        <v>0</v>
      </c>
      <c r="Z36" s="72">
        <f>background_calculations!AB34</f>
        <v>1.4461315979754157E-2</v>
      </c>
      <c r="AA36" s="72">
        <f>background_calculations!AC34</f>
        <v>0</v>
      </c>
      <c r="AB36" s="72">
        <f>background_calculations!AD34</f>
        <v>0</v>
      </c>
      <c r="AC36" s="72">
        <f>background_calculations!AE34</f>
        <v>1.4461315979754157E-2</v>
      </c>
      <c r="AD36" s="72">
        <f>background_calculations!AF34</f>
        <v>1.4461315979754157E-2</v>
      </c>
      <c r="AE36" s="72">
        <f>background_calculations!AG34</f>
        <v>2.8922631959508314E-2</v>
      </c>
      <c r="AF36" s="72">
        <f>background_calculations!AH34</f>
        <v>1.4461315979754157E-2</v>
      </c>
      <c r="AG36" s="72">
        <f>background_calculations!AI34</f>
        <v>1.4461315979754157E-2</v>
      </c>
    </row>
    <row r="37" spans="1:33" x14ac:dyDescent="0.35">
      <c r="A37" s="135">
        <v>8</v>
      </c>
      <c r="B37" s="136" t="s">
        <v>31</v>
      </c>
      <c r="C37" s="49">
        <f>background_calculations!E35</f>
        <v>0</v>
      </c>
      <c r="D37" s="49">
        <f>background_calculations!F35</f>
        <v>7.2668112798264642E-2</v>
      </c>
      <c r="E37" s="49">
        <f>background_calculations!G35</f>
        <v>7.2668112798264642E-2</v>
      </c>
      <c r="F37" s="72">
        <f>background_calculations!H35</f>
        <v>0</v>
      </c>
      <c r="G37" s="72">
        <f>background_calculations!I35</f>
        <v>0</v>
      </c>
      <c r="H37" s="72">
        <f>background_calculations!J35</f>
        <v>2.4222704266088212E-2</v>
      </c>
      <c r="I37" s="72">
        <f>background_calculations!K35</f>
        <v>2.4222704266088212E-2</v>
      </c>
      <c r="J37" s="72">
        <f>background_calculations!L35</f>
        <v>7.2668112798264642E-2</v>
      </c>
      <c r="K37" s="72">
        <f>background_calculations!M35</f>
        <v>7.2668112798264642E-2</v>
      </c>
      <c r="L37" s="72">
        <f>background_calculations!N35</f>
        <v>0</v>
      </c>
      <c r="M37" s="72">
        <f>background_calculations!O35</f>
        <v>0</v>
      </c>
      <c r="N37" s="72">
        <f>background_calculations!P35</f>
        <v>7.2668112798264642E-2</v>
      </c>
      <c r="O37" s="72">
        <f>background_calculations!Q35</f>
        <v>0</v>
      </c>
      <c r="P37" s="72">
        <f>background_calculations!R35</f>
        <v>0</v>
      </c>
      <c r="Q37" s="72">
        <f>background_calculations!S35</f>
        <v>0</v>
      </c>
      <c r="R37" s="72">
        <f>background_calculations!T35</f>
        <v>0</v>
      </c>
      <c r="S37" s="72">
        <f>background_calculations!U35</f>
        <v>0</v>
      </c>
      <c r="T37" s="72">
        <f>background_calculations!V35</f>
        <v>0</v>
      </c>
      <c r="U37" s="72">
        <f>background_calculations!W35</f>
        <v>0</v>
      </c>
      <c r="V37" s="72">
        <f>background_calculations!X35</f>
        <v>0</v>
      </c>
      <c r="W37" s="72">
        <f>background_calculations!Y35</f>
        <v>7.2668112798264642E-2</v>
      </c>
      <c r="X37" s="72">
        <f>background_calculations!Z35</f>
        <v>7.2668112798264642E-2</v>
      </c>
      <c r="Y37" s="72">
        <f>background_calculations!AA35</f>
        <v>7.2668112798264642E-2</v>
      </c>
      <c r="Z37" s="72">
        <f>background_calculations!AB35</f>
        <v>4.8445408532176423E-2</v>
      </c>
      <c r="AA37" s="72">
        <f>background_calculations!AC35</f>
        <v>0</v>
      </c>
      <c r="AB37" s="72">
        <f>background_calculations!AD35</f>
        <v>2.4222704266088212E-2</v>
      </c>
      <c r="AC37" s="72">
        <f>background_calculations!AE35</f>
        <v>7.2668112798264642E-2</v>
      </c>
      <c r="AD37" s="72">
        <f>background_calculations!AF35</f>
        <v>7.2668112798264642E-2</v>
      </c>
      <c r="AE37" s="72">
        <f>background_calculations!AG35</f>
        <v>0</v>
      </c>
      <c r="AF37" s="72">
        <f>background_calculations!AH35</f>
        <v>2.4222704266088212E-2</v>
      </c>
      <c r="AG37" s="72">
        <f>background_calculations!AI35</f>
        <v>2.4222704266088212E-2</v>
      </c>
    </row>
    <row r="38" spans="1:33" x14ac:dyDescent="0.35">
      <c r="A38" s="135">
        <v>9</v>
      </c>
      <c r="B38" s="136" t="s">
        <v>32</v>
      </c>
      <c r="C38" s="49">
        <f>background_calculations!E36</f>
        <v>0</v>
      </c>
      <c r="D38" s="49">
        <f>background_calculations!F36</f>
        <v>0</v>
      </c>
      <c r="E38" s="49">
        <f>background_calculations!G36</f>
        <v>0</v>
      </c>
      <c r="F38" s="72">
        <f>background_calculations!H36</f>
        <v>0</v>
      </c>
      <c r="G38" s="72">
        <f>background_calculations!I36</f>
        <v>0</v>
      </c>
      <c r="H38" s="72">
        <f>background_calculations!J36</f>
        <v>0</v>
      </c>
      <c r="I38" s="72">
        <f>background_calculations!K36</f>
        <v>0</v>
      </c>
      <c r="J38" s="72">
        <f>background_calculations!L36</f>
        <v>0</v>
      </c>
      <c r="K38" s="72">
        <f>background_calculations!M36</f>
        <v>0</v>
      </c>
      <c r="L38" s="72">
        <f>background_calculations!N36</f>
        <v>0</v>
      </c>
      <c r="M38" s="72">
        <f>background_calculations!O36</f>
        <v>0</v>
      </c>
      <c r="N38" s="72">
        <f>background_calculations!P36</f>
        <v>0</v>
      </c>
      <c r="O38" s="72">
        <f>background_calculations!Q36</f>
        <v>0</v>
      </c>
      <c r="P38" s="72">
        <f>background_calculations!R36</f>
        <v>0</v>
      </c>
      <c r="Q38" s="72">
        <f>background_calculations!S36</f>
        <v>0</v>
      </c>
      <c r="R38" s="72">
        <f>background_calculations!T36</f>
        <v>0</v>
      </c>
      <c r="S38" s="72">
        <f>background_calculations!U36</f>
        <v>0</v>
      </c>
      <c r="T38" s="72">
        <f>background_calculations!V36</f>
        <v>0</v>
      </c>
      <c r="U38" s="72">
        <f>background_calculations!W36</f>
        <v>0</v>
      </c>
      <c r="V38" s="72">
        <f>background_calculations!X36</f>
        <v>0</v>
      </c>
      <c r="W38" s="72">
        <f>background_calculations!Y36</f>
        <v>0</v>
      </c>
      <c r="X38" s="72">
        <f>background_calculations!Z36</f>
        <v>0</v>
      </c>
      <c r="Y38" s="72">
        <f>background_calculations!AA36</f>
        <v>0</v>
      </c>
      <c r="Z38" s="72">
        <f>background_calculations!AB36</f>
        <v>0</v>
      </c>
      <c r="AA38" s="72">
        <f>background_calculations!AC36</f>
        <v>0</v>
      </c>
      <c r="AB38" s="72">
        <f>background_calculations!AD36</f>
        <v>0</v>
      </c>
      <c r="AC38" s="72">
        <f>background_calculations!AE36</f>
        <v>0</v>
      </c>
      <c r="AD38" s="72">
        <f>background_calculations!AF36</f>
        <v>0</v>
      </c>
      <c r="AE38" s="72">
        <f>background_calculations!AG36</f>
        <v>0</v>
      </c>
      <c r="AF38" s="72">
        <f>background_calculations!AH36</f>
        <v>0</v>
      </c>
      <c r="AG38" s="72">
        <f>background_calculations!AI36</f>
        <v>0</v>
      </c>
    </row>
    <row r="39" spans="1:33" x14ac:dyDescent="0.35">
      <c r="A39" s="135">
        <v>10</v>
      </c>
      <c r="B39" s="136" t="s">
        <v>33</v>
      </c>
      <c r="C39" s="49">
        <f>background_calculations!E37</f>
        <v>1.8980477223427331E-2</v>
      </c>
      <c r="D39" s="49">
        <f>background_calculations!F37</f>
        <v>5.6941431670281997E-2</v>
      </c>
      <c r="E39" s="49">
        <f>background_calculations!G37</f>
        <v>1.8980477223427331E-2</v>
      </c>
      <c r="F39" s="72">
        <f>background_calculations!H37</f>
        <v>0</v>
      </c>
      <c r="G39" s="72">
        <f>background_calculations!I37</f>
        <v>0</v>
      </c>
      <c r="H39" s="72">
        <f>background_calculations!J37</f>
        <v>0</v>
      </c>
      <c r="I39" s="72">
        <f>background_calculations!K37</f>
        <v>0</v>
      </c>
      <c r="J39" s="72">
        <f>background_calculations!L37</f>
        <v>0</v>
      </c>
      <c r="K39" s="72">
        <f>background_calculations!M37</f>
        <v>1.8980477223427331E-2</v>
      </c>
      <c r="L39" s="72">
        <f>background_calculations!N37</f>
        <v>5.6941431670281997E-2</v>
      </c>
      <c r="M39" s="72">
        <f>background_calculations!O37</f>
        <v>5.6941431670281997E-2</v>
      </c>
      <c r="N39" s="72">
        <f>background_calculations!P37</f>
        <v>1.8980477223427331E-2</v>
      </c>
      <c r="O39" s="72">
        <f>background_calculations!Q37</f>
        <v>1.8980477223427331E-2</v>
      </c>
      <c r="P39" s="72">
        <f>background_calculations!R37</f>
        <v>1.8980477223427331E-2</v>
      </c>
      <c r="Q39" s="72">
        <f>background_calculations!S37</f>
        <v>1.8980477223427331E-2</v>
      </c>
      <c r="R39" s="72">
        <f>background_calculations!T37</f>
        <v>1.8980477223427331E-2</v>
      </c>
      <c r="S39" s="72">
        <f>background_calculations!U37</f>
        <v>1.8980477223427331E-2</v>
      </c>
      <c r="T39" s="72">
        <f>background_calculations!V37</f>
        <v>1.8980477223427331E-2</v>
      </c>
      <c r="U39" s="72">
        <f>background_calculations!W37</f>
        <v>1.8980477223427331E-2</v>
      </c>
      <c r="V39" s="72">
        <f>background_calculations!X37</f>
        <v>1.8980477223427331E-2</v>
      </c>
      <c r="W39" s="72">
        <f>background_calculations!Y37</f>
        <v>3.7960954446854663E-2</v>
      </c>
      <c r="X39" s="72">
        <f>background_calculations!Z37</f>
        <v>1.8980477223427331E-2</v>
      </c>
      <c r="Y39" s="72">
        <f>background_calculations!AA37</f>
        <v>1.8980477223427331E-2</v>
      </c>
      <c r="Z39" s="72">
        <f>background_calculations!AB37</f>
        <v>1.8980477223427331E-2</v>
      </c>
      <c r="AA39" s="72">
        <f>background_calculations!AC37</f>
        <v>5.6941431670281997E-2</v>
      </c>
      <c r="AB39" s="72">
        <f>background_calculations!AD37</f>
        <v>1.8980477223427331E-2</v>
      </c>
      <c r="AC39" s="72">
        <f>background_calculations!AE37</f>
        <v>5.6941431670281997E-2</v>
      </c>
      <c r="AD39" s="72">
        <f>background_calculations!AF37</f>
        <v>5.6941431670281997E-2</v>
      </c>
      <c r="AE39" s="72">
        <f>background_calculations!AG37</f>
        <v>5.6941431670281997E-2</v>
      </c>
      <c r="AF39" s="72">
        <f>background_calculations!AH37</f>
        <v>0</v>
      </c>
      <c r="AG39" s="72">
        <f>background_calculations!AI37</f>
        <v>0</v>
      </c>
    </row>
    <row r="40" spans="1:33" x14ac:dyDescent="0.35">
      <c r="A40" s="135">
        <v>11</v>
      </c>
      <c r="B40" s="136" t="s">
        <v>34</v>
      </c>
      <c r="C40" s="49">
        <f>background_calculations!E38</f>
        <v>0</v>
      </c>
      <c r="D40" s="49">
        <f>background_calculations!F38</f>
        <v>0</v>
      </c>
      <c r="E40" s="49">
        <f>background_calculations!G38</f>
        <v>2.0788141720896602E-2</v>
      </c>
      <c r="F40" s="72">
        <f>background_calculations!H38</f>
        <v>0</v>
      </c>
      <c r="G40" s="72">
        <f>background_calculations!I38</f>
        <v>0</v>
      </c>
      <c r="H40" s="72">
        <f>background_calculations!J38</f>
        <v>0</v>
      </c>
      <c r="I40" s="72">
        <f>background_calculations!K38</f>
        <v>0</v>
      </c>
      <c r="J40" s="72">
        <f>background_calculations!L38</f>
        <v>0</v>
      </c>
      <c r="K40" s="72">
        <f>background_calculations!M38</f>
        <v>0</v>
      </c>
      <c r="L40" s="72">
        <f>background_calculations!N38</f>
        <v>0</v>
      </c>
      <c r="M40" s="72">
        <f>background_calculations!O38</f>
        <v>2.0788141720896602E-2</v>
      </c>
      <c r="N40" s="72">
        <f>background_calculations!P38</f>
        <v>2.0788141720896602E-2</v>
      </c>
      <c r="O40" s="72">
        <f>background_calculations!Q38</f>
        <v>2.0788141720896602E-2</v>
      </c>
      <c r="P40" s="72">
        <f>background_calculations!R38</f>
        <v>0</v>
      </c>
      <c r="Q40" s="72">
        <f>background_calculations!S38</f>
        <v>0</v>
      </c>
      <c r="R40" s="72">
        <f>background_calculations!T38</f>
        <v>0</v>
      </c>
      <c r="S40" s="72">
        <f>background_calculations!U38</f>
        <v>0</v>
      </c>
      <c r="T40" s="72">
        <f>background_calculations!V38</f>
        <v>0</v>
      </c>
      <c r="U40" s="72">
        <f>background_calculations!W38</f>
        <v>0</v>
      </c>
      <c r="V40" s="72">
        <f>background_calculations!X38</f>
        <v>0</v>
      </c>
      <c r="W40" s="72">
        <f>background_calculations!Y38</f>
        <v>0</v>
      </c>
      <c r="X40" s="72">
        <f>background_calculations!Z38</f>
        <v>0</v>
      </c>
      <c r="Y40" s="72">
        <f>background_calculations!AA38</f>
        <v>0</v>
      </c>
      <c r="Z40" s="72">
        <f>background_calculations!AB38</f>
        <v>0</v>
      </c>
      <c r="AA40" s="72">
        <f>background_calculations!AC38</f>
        <v>0</v>
      </c>
      <c r="AB40" s="72">
        <f>background_calculations!AD38</f>
        <v>0</v>
      </c>
      <c r="AC40" s="72">
        <f>background_calculations!AE38</f>
        <v>6.2364425162689807E-2</v>
      </c>
      <c r="AD40" s="72">
        <f>background_calculations!AF38</f>
        <v>6.2364425162689807E-2</v>
      </c>
      <c r="AE40" s="72">
        <f>background_calculations!AG38</f>
        <v>0</v>
      </c>
      <c r="AF40" s="72">
        <f>background_calculations!AH38</f>
        <v>0</v>
      </c>
      <c r="AG40" s="72">
        <f>background_calculations!AI38</f>
        <v>0</v>
      </c>
    </row>
    <row r="41" spans="1:33" x14ac:dyDescent="0.35">
      <c r="A41" s="135">
        <v>12</v>
      </c>
      <c r="B41" s="136" t="s">
        <v>36</v>
      </c>
      <c r="C41" s="49">
        <f>background_calculations!E39</f>
        <v>4.8806941431670282E-2</v>
      </c>
      <c r="D41" s="49">
        <f>background_calculations!F39</f>
        <v>4.8806941431670282E-2</v>
      </c>
      <c r="E41" s="49">
        <f>background_calculations!G39</f>
        <v>4.8806941431670282E-2</v>
      </c>
      <c r="F41" s="72">
        <f>background_calculations!H39</f>
        <v>4.8806941431670282E-2</v>
      </c>
      <c r="G41" s="72">
        <f>background_calculations!I39</f>
        <v>0</v>
      </c>
      <c r="H41" s="72">
        <f>background_calculations!J39</f>
        <v>0</v>
      </c>
      <c r="I41" s="72">
        <f>background_calculations!K39</f>
        <v>1.6268980477223426E-2</v>
      </c>
      <c r="J41" s="72">
        <f>background_calculations!L39</f>
        <v>4.8806941431670282E-2</v>
      </c>
      <c r="K41" s="72">
        <f>background_calculations!M39</f>
        <v>4.8806941431670282E-2</v>
      </c>
      <c r="L41" s="72">
        <f>background_calculations!N39</f>
        <v>4.8806941431670282E-2</v>
      </c>
      <c r="M41" s="72">
        <f>background_calculations!O39</f>
        <v>4.8806941431670282E-2</v>
      </c>
      <c r="N41" s="72">
        <f>background_calculations!P39</f>
        <v>4.8806941431670282E-2</v>
      </c>
      <c r="O41" s="72">
        <f>background_calculations!Q39</f>
        <v>4.8806941431670282E-2</v>
      </c>
      <c r="P41" s="72">
        <f>background_calculations!R39</f>
        <v>0</v>
      </c>
      <c r="Q41" s="72">
        <f>background_calculations!S39</f>
        <v>1.6268980477223426E-2</v>
      </c>
      <c r="R41" s="72">
        <f>background_calculations!T39</f>
        <v>4.8806941431670282E-2</v>
      </c>
      <c r="S41" s="72">
        <f>background_calculations!U39</f>
        <v>4.8806941431670282E-2</v>
      </c>
      <c r="T41" s="72">
        <f>background_calculations!V39</f>
        <v>0</v>
      </c>
      <c r="U41" s="72">
        <f>background_calculations!W39</f>
        <v>0</v>
      </c>
      <c r="V41" s="72">
        <f>background_calculations!X39</f>
        <v>0</v>
      </c>
      <c r="W41" s="72">
        <f>background_calculations!Y39</f>
        <v>4.8806941431670282E-2</v>
      </c>
      <c r="X41" s="72">
        <f>background_calculations!Z39</f>
        <v>4.8806941431670282E-2</v>
      </c>
      <c r="Y41" s="72">
        <f>background_calculations!AA39</f>
        <v>4.8806941431670282E-2</v>
      </c>
      <c r="Z41" s="72">
        <f>background_calculations!AB39</f>
        <v>4.8806941431670282E-2</v>
      </c>
      <c r="AA41" s="72">
        <f>background_calculations!AC39</f>
        <v>0</v>
      </c>
      <c r="AB41" s="72">
        <f>background_calculations!AD39</f>
        <v>4.8806941431670282E-2</v>
      </c>
      <c r="AC41" s="72">
        <f>background_calculations!AE39</f>
        <v>4.8806941431670282E-2</v>
      </c>
      <c r="AD41" s="72">
        <f>background_calculations!AF39</f>
        <v>4.8806941431670282E-2</v>
      </c>
      <c r="AE41" s="72">
        <f>background_calculations!AG39</f>
        <v>1.6268980477223426E-2</v>
      </c>
      <c r="AF41" s="72">
        <f>background_calculations!AH39</f>
        <v>1.6268980477223426E-2</v>
      </c>
      <c r="AG41" s="72">
        <f>background_calculations!AI39</f>
        <v>4.8806941431670282E-2</v>
      </c>
    </row>
    <row r="42" spans="1:33" x14ac:dyDescent="0.35">
      <c r="A42" s="135">
        <v>13</v>
      </c>
      <c r="B42" s="136" t="s">
        <v>37</v>
      </c>
      <c r="C42" s="49">
        <f>background_calculations!E40</f>
        <v>0</v>
      </c>
      <c r="D42" s="49">
        <f>background_calculations!F40</f>
        <v>0</v>
      </c>
      <c r="E42" s="49">
        <f>background_calculations!G40</f>
        <v>4.7180043383947941E-2</v>
      </c>
      <c r="F42" s="72">
        <f>background_calculations!H40</f>
        <v>0</v>
      </c>
      <c r="G42" s="72">
        <f>background_calculations!I40</f>
        <v>0</v>
      </c>
      <c r="H42" s="72">
        <f>background_calculations!J40</f>
        <v>0</v>
      </c>
      <c r="I42" s="72">
        <f>background_calculations!K40</f>
        <v>0</v>
      </c>
      <c r="J42" s="72">
        <f>background_calculations!L40</f>
        <v>4.7180043383947941E-2</v>
      </c>
      <c r="K42" s="72">
        <f>background_calculations!M40</f>
        <v>0</v>
      </c>
      <c r="L42" s="72">
        <f>background_calculations!N40</f>
        <v>0</v>
      </c>
      <c r="M42" s="72">
        <f>background_calculations!O40</f>
        <v>0</v>
      </c>
      <c r="N42" s="72">
        <f>background_calculations!P40</f>
        <v>0</v>
      </c>
      <c r="O42" s="72">
        <f>background_calculations!Q40</f>
        <v>0</v>
      </c>
      <c r="P42" s="72">
        <f>background_calculations!R40</f>
        <v>0</v>
      </c>
      <c r="Q42" s="72">
        <f>background_calculations!S40</f>
        <v>0</v>
      </c>
      <c r="R42" s="72">
        <f>background_calculations!T40</f>
        <v>0</v>
      </c>
      <c r="S42" s="72">
        <f>background_calculations!U40</f>
        <v>0</v>
      </c>
      <c r="T42" s="72">
        <f>background_calculations!V40</f>
        <v>0</v>
      </c>
      <c r="U42" s="72">
        <f>background_calculations!W40</f>
        <v>0</v>
      </c>
      <c r="V42" s="72">
        <f>background_calculations!X40</f>
        <v>0</v>
      </c>
      <c r="W42" s="72">
        <f>background_calculations!Y40</f>
        <v>4.7180043383947941E-2</v>
      </c>
      <c r="X42" s="72">
        <f>background_calculations!Z40</f>
        <v>4.7180043383947941E-2</v>
      </c>
      <c r="Y42" s="72">
        <f>background_calculations!AA40</f>
        <v>4.7180043383947941E-2</v>
      </c>
      <c r="Z42" s="72">
        <f>background_calculations!AB40</f>
        <v>0</v>
      </c>
      <c r="AA42" s="72">
        <f>background_calculations!AC40</f>
        <v>0</v>
      </c>
      <c r="AB42" s="72">
        <f>background_calculations!AD40</f>
        <v>0</v>
      </c>
      <c r="AC42" s="72">
        <f>background_calculations!AE40</f>
        <v>1.5726681127982645E-2</v>
      </c>
      <c r="AD42" s="72">
        <f>background_calculations!AF40</f>
        <v>0</v>
      </c>
      <c r="AE42" s="72">
        <f>background_calculations!AG40</f>
        <v>0</v>
      </c>
      <c r="AF42" s="72">
        <f>background_calculations!AH40</f>
        <v>4.7180043383947941E-2</v>
      </c>
      <c r="AG42" s="72">
        <f>background_calculations!AI40</f>
        <v>3.1453362255965289E-2</v>
      </c>
    </row>
    <row r="43" spans="1:33" s="72" customFormat="1" x14ac:dyDescent="0.35">
      <c r="A43" s="135">
        <v>14</v>
      </c>
      <c r="B43" s="136" t="s">
        <v>38</v>
      </c>
      <c r="C43" s="49">
        <f>background_calculations!E41</f>
        <v>0</v>
      </c>
      <c r="D43" s="49">
        <f>background_calculations!F41</f>
        <v>5.4229934924078093E-4</v>
      </c>
      <c r="E43" s="49">
        <f>background_calculations!G41</f>
        <v>5.4229934924078093E-4</v>
      </c>
      <c r="F43" s="72">
        <f>background_calculations!H41</f>
        <v>0</v>
      </c>
      <c r="G43" s="72">
        <f>background_calculations!I41</f>
        <v>0</v>
      </c>
      <c r="H43" s="72">
        <f>background_calculations!J41</f>
        <v>0</v>
      </c>
      <c r="I43" s="72">
        <f>background_calculations!K41</f>
        <v>0</v>
      </c>
      <c r="J43" s="72">
        <f>background_calculations!L41</f>
        <v>0</v>
      </c>
      <c r="K43" s="72">
        <f>background_calculations!M41</f>
        <v>5.4229934924078093E-4</v>
      </c>
      <c r="L43" s="72">
        <f>background_calculations!N41</f>
        <v>5.4229934924078093E-4</v>
      </c>
      <c r="M43" s="72">
        <f>background_calculations!O41</f>
        <v>5.4229934924078093E-4</v>
      </c>
      <c r="N43" s="72">
        <f>background_calculations!P41</f>
        <v>5.4229934924078093E-4</v>
      </c>
      <c r="O43" s="72">
        <f>background_calculations!Q41</f>
        <v>5.4229934924078093E-4</v>
      </c>
      <c r="P43" s="72">
        <f>background_calculations!R41</f>
        <v>0</v>
      </c>
      <c r="Q43" s="72">
        <f>background_calculations!S41</f>
        <v>0</v>
      </c>
      <c r="R43" s="72">
        <f>background_calculations!T41</f>
        <v>5.4229934924078093E-4</v>
      </c>
      <c r="S43" s="72">
        <f>background_calculations!U41</f>
        <v>5.4229934924078093E-4</v>
      </c>
      <c r="T43" s="72">
        <f>background_calculations!V41</f>
        <v>0</v>
      </c>
      <c r="U43" s="72">
        <f>background_calculations!W41</f>
        <v>5.4229934924078093E-4</v>
      </c>
      <c r="V43" s="72">
        <f>background_calculations!X41</f>
        <v>0</v>
      </c>
      <c r="W43" s="72">
        <f>background_calculations!Y41</f>
        <v>5.4229934924078093E-4</v>
      </c>
      <c r="X43" s="72">
        <f>background_calculations!Z41</f>
        <v>5.4229934924078093E-4</v>
      </c>
      <c r="Y43" s="72">
        <f>background_calculations!AA41</f>
        <v>5.4229934924078093E-4</v>
      </c>
      <c r="Z43" s="72">
        <f>background_calculations!AB41</f>
        <v>5.4229934924078093E-4</v>
      </c>
      <c r="AA43" s="72">
        <f>background_calculations!AC41</f>
        <v>0</v>
      </c>
      <c r="AB43" s="72">
        <f>background_calculations!AD41</f>
        <v>0</v>
      </c>
      <c r="AC43" s="72">
        <f>background_calculations!AE41</f>
        <v>0</v>
      </c>
      <c r="AD43" s="72">
        <f>background_calculations!AF41</f>
        <v>0</v>
      </c>
      <c r="AE43" s="72">
        <f>background_calculations!AG41</f>
        <v>0</v>
      </c>
      <c r="AF43" s="72">
        <f>background_calculations!AH41</f>
        <v>5.4229934924078093E-4</v>
      </c>
      <c r="AG43" s="72">
        <f>background_calculations!AI41</f>
        <v>0</v>
      </c>
    </row>
    <row r="44" spans="1:33" s="72" customFormat="1" x14ac:dyDescent="0.35">
      <c r="A44" s="135">
        <v>15</v>
      </c>
      <c r="B44" s="136" t="s">
        <v>40</v>
      </c>
      <c r="C44" s="49">
        <f>background_calculations!E42</f>
        <v>4.1576283441793205E-2</v>
      </c>
      <c r="D44" s="49">
        <f>background_calculations!F42</f>
        <v>2.0788141720896602E-2</v>
      </c>
      <c r="E44" s="49">
        <f>background_calculations!G42</f>
        <v>0</v>
      </c>
      <c r="F44" s="72">
        <f>background_calculations!H42</f>
        <v>0</v>
      </c>
      <c r="G44" s="72">
        <f>background_calculations!I42</f>
        <v>0</v>
      </c>
      <c r="H44" s="72">
        <f>background_calculations!J42</f>
        <v>2.0788141720896602E-2</v>
      </c>
      <c r="I44" s="72">
        <f>background_calculations!K42</f>
        <v>2.0788141720896602E-2</v>
      </c>
      <c r="J44" s="72">
        <f>background_calculations!L42</f>
        <v>2.0788141720896602E-2</v>
      </c>
      <c r="K44" s="72">
        <f>background_calculations!M42</f>
        <v>2.0788141720896602E-2</v>
      </c>
      <c r="L44" s="72">
        <f>background_calculations!N42</f>
        <v>2.0788141720896602E-2</v>
      </c>
      <c r="M44" s="72">
        <f>background_calculations!O42</f>
        <v>2.0788141720896602E-2</v>
      </c>
      <c r="N44" s="72">
        <f>background_calculations!P42</f>
        <v>2.0788141720896602E-2</v>
      </c>
      <c r="O44" s="72">
        <f>background_calculations!Q42</f>
        <v>2.0788141720896602E-2</v>
      </c>
      <c r="P44" s="72">
        <f>background_calculations!R42</f>
        <v>0</v>
      </c>
      <c r="Q44" s="72">
        <f>background_calculations!S42</f>
        <v>2.0788141720896602E-2</v>
      </c>
      <c r="R44" s="72">
        <f>background_calculations!T42</f>
        <v>0</v>
      </c>
      <c r="S44" s="72">
        <f>background_calculations!U42</f>
        <v>4.1576283441793205E-2</v>
      </c>
      <c r="T44" s="72">
        <f>background_calculations!V42</f>
        <v>4.1576283441793205E-2</v>
      </c>
      <c r="U44" s="72">
        <f>background_calculations!W42</f>
        <v>4.1576283441793205E-2</v>
      </c>
      <c r="V44" s="72">
        <f>background_calculations!X42</f>
        <v>0</v>
      </c>
      <c r="W44" s="72">
        <f>background_calculations!Y42</f>
        <v>4.1576283441793205E-2</v>
      </c>
      <c r="X44" s="72">
        <f>background_calculations!Z42</f>
        <v>6.2364425162689807E-2</v>
      </c>
      <c r="Y44" s="72">
        <f>background_calculations!AA42</f>
        <v>6.2364425162689807E-2</v>
      </c>
      <c r="Z44" s="72">
        <f>background_calculations!AB42</f>
        <v>6.2364425162689807E-2</v>
      </c>
      <c r="AA44" s="72">
        <f>background_calculations!AC42</f>
        <v>0</v>
      </c>
      <c r="AB44" s="72">
        <f>background_calculations!AD42</f>
        <v>0</v>
      </c>
      <c r="AC44" s="72">
        <f>background_calculations!AE42</f>
        <v>4.1576283441793205E-2</v>
      </c>
      <c r="AD44" s="72">
        <f>background_calculations!AF42</f>
        <v>4.1576283441793205E-2</v>
      </c>
      <c r="AE44" s="72">
        <f>background_calculations!AG42</f>
        <v>6.2364425162689807E-2</v>
      </c>
      <c r="AF44" s="72">
        <f>background_calculations!AH42</f>
        <v>2.0788141720896602E-2</v>
      </c>
      <c r="AG44" s="72">
        <f>background_calculations!AI42</f>
        <v>2.0788141720896602E-2</v>
      </c>
    </row>
    <row r="45" spans="1:33" s="72" customFormat="1" x14ac:dyDescent="0.35">
      <c r="A45" s="135">
        <v>16</v>
      </c>
      <c r="B45" s="136" t="s">
        <v>41</v>
      </c>
      <c r="C45" s="49">
        <f>background_calculations!E43</f>
        <v>7.537960954446854E-2</v>
      </c>
      <c r="D45" s="49">
        <f>background_calculations!F43</f>
        <v>7.537960954446854E-2</v>
      </c>
      <c r="E45" s="49">
        <f>background_calculations!G43</f>
        <v>7.537960954446854E-2</v>
      </c>
      <c r="F45" s="72">
        <f>background_calculations!H43</f>
        <v>7.537960954446854E-2</v>
      </c>
      <c r="G45" s="72">
        <f>background_calculations!I43</f>
        <v>7.537960954446854E-2</v>
      </c>
      <c r="H45" s="72">
        <f>background_calculations!J43</f>
        <v>7.537960954446854E-2</v>
      </c>
      <c r="I45" s="72">
        <f>background_calculations!K43</f>
        <v>7.537960954446854E-2</v>
      </c>
      <c r="J45" s="72">
        <f>background_calculations!L43</f>
        <v>7.537960954446854E-2</v>
      </c>
      <c r="K45" s="72">
        <f>background_calculations!M43</f>
        <v>7.537960954446854E-2</v>
      </c>
      <c r="L45" s="72">
        <f>background_calculations!N43</f>
        <v>7.537960954446854E-2</v>
      </c>
      <c r="M45" s="72">
        <f>background_calculations!O43</f>
        <v>7.537960954446854E-2</v>
      </c>
      <c r="N45" s="72">
        <f>background_calculations!P43</f>
        <v>7.537960954446854E-2</v>
      </c>
      <c r="O45" s="72">
        <f>background_calculations!Q43</f>
        <v>7.537960954446854E-2</v>
      </c>
      <c r="P45" s="72">
        <f>background_calculations!R43</f>
        <v>7.537960954446854E-2</v>
      </c>
      <c r="Q45" s="72">
        <f>background_calculations!S43</f>
        <v>7.537960954446854E-2</v>
      </c>
      <c r="R45" s="72">
        <f>background_calculations!T43</f>
        <v>7.537960954446854E-2</v>
      </c>
      <c r="S45" s="72">
        <f>background_calculations!U43</f>
        <v>0</v>
      </c>
      <c r="T45" s="72">
        <f>background_calculations!V43</f>
        <v>7.537960954446854E-2</v>
      </c>
      <c r="U45" s="72">
        <f>background_calculations!W43</f>
        <v>7.537960954446854E-2</v>
      </c>
      <c r="V45" s="72">
        <f>background_calculations!X43</f>
        <v>7.537960954446854E-2</v>
      </c>
      <c r="W45" s="72">
        <f>background_calculations!Y43</f>
        <v>7.537960954446854E-2</v>
      </c>
      <c r="X45" s="72">
        <f>background_calculations!Z43</f>
        <v>3.768980477223427E-2</v>
      </c>
      <c r="Y45" s="72">
        <f>background_calculations!AA43</f>
        <v>7.537960954446854E-2</v>
      </c>
      <c r="Z45" s="72">
        <f>background_calculations!AB43</f>
        <v>3.768980477223427E-2</v>
      </c>
      <c r="AA45" s="72">
        <f>background_calculations!AC43</f>
        <v>7.537960954446854E-2</v>
      </c>
      <c r="AB45" s="72">
        <f>background_calculations!AD43</f>
        <v>7.537960954446854E-2</v>
      </c>
      <c r="AC45" s="72">
        <f>background_calculations!AE43</f>
        <v>7.537960954446854E-2</v>
      </c>
      <c r="AD45" s="72">
        <f>background_calculations!AF43</f>
        <v>7.537960954446854E-2</v>
      </c>
      <c r="AE45" s="72">
        <f>background_calculations!AG43</f>
        <v>7.537960954446854E-2</v>
      </c>
      <c r="AF45" s="72">
        <f>background_calculations!AH43</f>
        <v>3.768980477223427E-2</v>
      </c>
      <c r="AG45" s="72">
        <f>background_calculations!AI43</f>
        <v>7.537960954446854E-2</v>
      </c>
    </row>
    <row r="46" spans="1:33" s="72" customFormat="1" x14ac:dyDescent="0.35">
      <c r="A46" s="135">
        <v>17</v>
      </c>
      <c r="B46" s="136" t="s">
        <v>42</v>
      </c>
      <c r="C46" s="49">
        <f>background_calculations!E44</f>
        <v>5.3687635574837307E-2</v>
      </c>
      <c r="D46" s="49">
        <f>background_calculations!F44</f>
        <v>0.10737527114967461</v>
      </c>
      <c r="E46" s="49">
        <f>background_calculations!G44</f>
        <v>0.10737527114967461</v>
      </c>
      <c r="F46" s="72">
        <f>background_calculations!H44</f>
        <v>5.3687635574837307E-2</v>
      </c>
      <c r="G46" s="72">
        <f>background_calculations!I44</f>
        <v>5.3687635574837307E-2</v>
      </c>
      <c r="H46" s="72">
        <f>background_calculations!J44</f>
        <v>5.3687635574837307E-2</v>
      </c>
      <c r="I46" s="72">
        <f>background_calculations!K44</f>
        <v>5.3687635574837307E-2</v>
      </c>
      <c r="J46" s="72">
        <f>background_calculations!L44</f>
        <v>0.10737527114967461</v>
      </c>
      <c r="K46" s="72">
        <f>background_calculations!M44</f>
        <v>0.10737527114967461</v>
      </c>
      <c r="L46" s="72">
        <f>background_calculations!N44</f>
        <v>0.10737527114967461</v>
      </c>
      <c r="M46" s="72">
        <f>background_calculations!O44</f>
        <v>0.10737527114967461</v>
      </c>
      <c r="N46" s="72">
        <f>background_calculations!P44</f>
        <v>0.10737527114967461</v>
      </c>
      <c r="O46" s="72">
        <f>background_calculations!Q44</f>
        <v>0.10737527114967461</v>
      </c>
      <c r="P46" s="72">
        <f>background_calculations!R44</f>
        <v>0.10737527114967461</v>
      </c>
      <c r="Q46" s="72">
        <f>background_calculations!S44</f>
        <v>0.10737527114967461</v>
      </c>
      <c r="R46" s="72">
        <f>background_calculations!T44</f>
        <v>0.10737527114967461</v>
      </c>
      <c r="S46" s="72">
        <f>background_calculations!U44</f>
        <v>0</v>
      </c>
      <c r="T46" s="72">
        <f>background_calculations!V44</f>
        <v>0.10737527114967461</v>
      </c>
      <c r="U46" s="72">
        <f>background_calculations!W44</f>
        <v>0.10737527114967461</v>
      </c>
      <c r="V46" s="72">
        <f>background_calculations!X44</f>
        <v>0.10737527114967461</v>
      </c>
      <c r="W46" s="72">
        <f>background_calculations!Y44</f>
        <v>5.3687635574837307E-2</v>
      </c>
      <c r="X46" s="72">
        <f>background_calculations!Z44</f>
        <v>5.3687635574837307E-2</v>
      </c>
      <c r="Y46" s="72">
        <f>background_calculations!AA44</f>
        <v>5.3687635574837307E-2</v>
      </c>
      <c r="Z46" s="72">
        <f>background_calculations!AB44</f>
        <v>5.3687635574837307E-2</v>
      </c>
      <c r="AA46" s="72">
        <f>background_calculations!AC44</f>
        <v>0.10737527114967461</v>
      </c>
      <c r="AB46" s="72">
        <f>background_calculations!AD44</f>
        <v>0.10737527114967461</v>
      </c>
      <c r="AC46" s="72">
        <f>background_calculations!AE44</f>
        <v>0.10737527114967461</v>
      </c>
      <c r="AD46" s="72">
        <f>background_calculations!AF44</f>
        <v>0.10737527114967461</v>
      </c>
      <c r="AE46" s="72">
        <f>background_calculations!AG44</f>
        <v>0.10737527114967461</v>
      </c>
      <c r="AF46" s="72">
        <f>background_calculations!AH44</f>
        <v>5.3687635574837307E-2</v>
      </c>
      <c r="AG46" s="72">
        <f>background_calculations!AI44</f>
        <v>0.10737527114967461</v>
      </c>
    </row>
    <row r="47" spans="1:33" ht="13.15" x14ac:dyDescent="0.35">
      <c r="A47" s="64" t="s">
        <v>85</v>
      </c>
      <c r="B47" s="55"/>
      <c r="C47" s="56">
        <f>background_calculations!E47</f>
        <v>0.3694866232827187</v>
      </c>
      <c r="D47" s="56">
        <f>background_calculations!F47</f>
        <v>0.58622559652928419</v>
      </c>
      <c r="E47" s="56">
        <f>background_calculations!G47</f>
        <v>0.59544468546637741</v>
      </c>
      <c r="F47" s="72">
        <f>background_calculations!H47</f>
        <v>0.30892986261749816</v>
      </c>
      <c r="G47" s="72">
        <f>background_calculations!I47</f>
        <v>0.24566160520607375</v>
      </c>
      <c r="H47" s="72">
        <f>background_calculations!J47</f>
        <v>0.29067245119305857</v>
      </c>
      <c r="I47" s="72">
        <f>background_calculations!K47</f>
        <v>0.30694143167028198</v>
      </c>
      <c r="J47" s="72">
        <f>background_calculations!L47</f>
        <v>0.48879248011569054</v>
      </c>
      <c r="K47" s="72">
        <f>background_calculations!M47</f>
        <v>0.46113521330441071</v>
      </c>
      <c r="L47" s="72">
        <f>background_calculations!N47</f>
        <v>0.43022415039768613</v>
      </c>
      <c r="M47" s="72">
        <f>background_calculations!O47</f>
        <v>0.53579175704989157</v>
      </c>
      <c r="N47" s="72">
        <f>background_calculations!P47</f>
        <v>0.59797541576283442</v>
      </c>
      <c r="O47" s="72">
        <f>background_calculations!Q47</f>
        <v>0.512292118582791</v>
      </c>
      <c r="P47" s="72">
        <f>background_calculations!R47</f>
        <v>0.43872017353579174</v>
      </c>
      <c r="Q47" s="72">
        <f>background_calculations!S47</f>
        <v>0.42154736080983368</v>
      </c>
      <c r="R47" s="72">
        <f>background_calculations!T47</f>
        <v>0.40672451193058567</v>
      </c>
      <c r="S47" s="72">
        <f>background_calculations!U47</f>
        <v>0.17227042660882139</v>
      </c>
      <c r="T47" s="72">
        <f>background_calculations!V47</f>
        <v>0.3159797541576283</v>
      </c>
      <c r="U47" s="72">
        <f>background_calculations!W47</f>
        <v>0.37075198843094714</v>
      </c>
      <c r="V47" s="72">
        <f>background_calculations!X47</f>
        <v>0.42136659436008672</v>
      </c>
      <c r="W47" s="72">
        <f>background_calculations!Y47</f>
        <v>0.44649313087490961</v>
      </c>
      <c r="X47" s="72">
        <f>background_calculations!Z47</f>
        <v>0.39614967462039041</v>
      </c>
      <c r="Y47" s="72">
        <f>background_calculations!AA47</f>
        <v>0.43383947939262468</v>
      </c>
      <c r="Z47" s="72">
        <f>background_calculations!AB47</f>
        <v>0.33920824295010843</v>
      </c>
      <c r="AA47" s="72">
        <f>background_calculations!AC47</f>
        <v>0.44486623282718724</v>
      </c>
      <c r="AB47" s="72">
        <f>background_calculations!AD47</f>
        <v>0.51518438177874193</v>
      </c>
      <c r="AC47" s="72">
        <f>background_calculations!AE47</f>
        <v>0.70046999276934196</v>
      </c>
      <c r="AD47" s="72">
        <f>background_calculations!AF47</f>
        <v>0.68474331164135938</v>
      </c>
      <c r="AE47" s="72">
        <f>background_calculations!AG47</f>
        <v>0.56525668835864062</v>
      </c>
      <c r="AF47" s="72">
        <f>background_calculations!AH47</f>
        <v>0.21484092552422268</v>
      </c>
      <c r="AG47" s="72">
        <f>background_calculations!AI47</f>
        <v>0.32248734634851767</v>
      </c>
    </row>
    <row r="49" spans="1:6" x14ac:dyDescent="0.35">
      <c r="A49" s="150" t="s">
        <v>86</v>
      </c>
      <c r="B49" s="150"/>
      <c r="C49" s="150"/>
      <c r="D49" s="72"/>
      <c r="E49" s="72"/>
      <c r="F49" s="72"/>
    </row>
    <row r="50" spans="1:6" ht="25.5" x14ac:dyDescent="0.35">
      <c r="A50" s="153" t="s">
        <v>87</v>
      </c>
      <c r="B50" s="153" t="s">
        <v>88</v>
      </c>
      <c r="C50" s="153" t="s">
        <v>85</v>
      </c>
      <c r="D50" s="239" t="s">
        <v>89</v>
      </c>
      <c r="E50" s="240" t="s">
        <v>90</v>
      </c>
      <c r="F50" s="242" t="s">
        <v>91</v>
      </c>
    </row>
    <row r="51" spans="1:6" x14ac:dyDescent="0.35">
      <c r="A51" s="150">
        <v>1</v>
      </c>
      <c r="B51" s="163" t="s">
        <v>75</v>
      </c>
      <c r="C51" s="152">
        <v>0.70046999276934196</v>
      </c>
      <c r="D51" s="237" t="s">
        <v>92</v>
      </c>
      <c r="E51" s="241" t="s">
        <v>92</v>
      </c>
      <c r="F51" s="243">
        <v>1</v>
      </c>
    </row>
    <row r="52" spans="1:6" x14ac:dyDescent="0.35">
      <c r="A52" s="150">
        <v>2</v>
      </c>
      <c r="B52" s="163" t="s">
        <v>76</v>
      </c>
      <c r="C52" s="152">
        <v>0.68474331164135938</v>
      </c>
      <c r="D52" s="237">
        <f>C51-C52</f>
        <v>1.5726681127982589E-2</v>
      </c>
      <c r="E52" s="238">
        <f>((C51-C52)/C51)*100</f>
        <v>2.2451612903225726</v>
      </c>
      <c r="F52" s="2">
        <f>IF(E52&lt;5,F51,(F51+1))</f>
        <v>1</v>
      </c>
    </row>
    <row r="53" spans="1:6" x14ac:dyDescent="0.35">
      <c r="A53" s="151">
        <v>3</v>
      </c>
      <c r="B53" s="165" t="s">
        <v>60</v>
      </c>
      <c r="C53" s="152">
        <v>0.59797541576283442</v>
      </c>
      <c r="D53" s="237">
        <f>C52-C53</f>
        <v>8.6767895878524959E-2</v>
      </c>
      <c r="E53" s="238">
        <f t="shared" ref="E53:E78" si="0">(C52-C53)/C52*100</f>
        <v>12.671594508975714</v>
      </c>
      <c r="F53" s="2">
        <f t="shared" ref="F53:F78" si="1">IF(E53&lt;5,F52,(F52+1))</f>
        <v>2</v>
      </c>
    </row>
    <row r="54" spans="1:6" x14ac:dyDescent="0.35">
      <c r="A54" s="72">
        <v>4</v>
      </c>
      <c r="B54" s="164" t="s">
        <v>51</v>
      </c>
      <c r="C54" s="72">
        <v>0.59544468546637741</v>
      </c>
      <c r="D54" s="237">
        <f t="shared" ref="D54:D68" si="2">C53-C54</f>
        <v>2.5307302964570066E-3</v>
      </c>
      <c r="E54" s="238">
        <f t="shared" si="0"/>
        <v>0.423216444981867</v>
      </c>
      <c r="F54" s="2">
        <f t="shared" si="1"/>
        <v>2</v>
      </c>
    </row>
    <row r="55" spans="1:6" x14ac:dyDescent="0.35">
      <c r="A55" s="72">
        <v>5</v>
      </c>
      <c r="B55" s="72" t="s">
        <v>50</v>
      </c>
      <c r="C55" s="72">
        <v>0.58622559652928419</v>
      </c>
      <c r="D55" s="237">
        <f t="shared" si="2"/>
        <v>9.2190889370932227E-3</v>
      </c>
      <c r="E55" s="238">
        <f t="shared" si="0"/>
        <v>1.5482695810564575</v>
      </c>
      <c r="F55" s="2">
        <f t="shared" si="1"/>
        <v>2</v>
      </c>
    </row>
    <row r="56" spans="1:6" x14ac:dyDescent="0.35">
      <c r="A56" s="72">
        <v>6</v>
      </c>
      <c r="B56" s="164" t="s">
        <v>77</v>
      </c>
      <c r="C56" s="72">
        <v>0.56525668835864062</v>
      </c>
      <c r="D56" s="237">
        <f t="shared" si="2"/>
        <v>2.0968908170643563E-2</v>
      </c>
      <c r="E56" s="238">
        <f t="shared" si="0"/>
        <v>3.5769349367869316</v>
      </c>
      <c r="F56" s="2">
        <f t="shared" si="1"/>
        <v>2</v>
      </c>
    </row>
    <row r="57" spans="1:6" ht="25.5" x14ac:dyDescent="0.35">
      <c r="A57" s="72">
        <v>7</v>
      </c>
      <c r="B57" s="164" t="s">
        <v>59</v>
      </c>
      <c r="C57" s="72">
        <v>0.53579175704989157</v>
      </c>
      <c r="D57" s="237">
        <f t="shared" si="2"/>
        <v>2.9464931308749054E-2</v>
      </c>
      <c r="E57" s="238">
        <f t="shared" si="0"/>
        <v>5.2126638951071236</v>
      </c>
      <c r="F57" s="2">
        <f t="shared" si="1"/>
        <v>3</v>
      </c>
    </row>
    <row r="58" spans="1:6" x14ac:dyDescent="0.35">
      <c r="A58" s="72">
        <v>8</v>
      </c>
      <c r="B58" s="164" t="s">
        <v>74</v>
      </c>
      <c r="C58" s="72">
        <v>0.51518438177874193</v>
      </c>
      <c r="D58" s="237">
        <f t="shared" si="2"/>
        <v>2.0607375271149642E-2</v>
      </c>
      <c r="E58" s="238">
        <f t="shared" si="0"/>
        <v>3.84615384615384</v>
      </c>
      <c r="F58" s="2">
        <f t="shared" si="1"/>
        <v>3</v>
      </c>
    </row>
    <row r="59" spans="1:6" x14ac:dyDescent="0.35">
      <c r="A59" s="72">
        <v>9</v>
      </c>
      <c r="B59" s="72" t="s">
        <v>61</v>
      </c>
      <c r="C59" s="72">
        <v>0.512292118582791</v>
      </c>
      <c r="D59" s="237">
        <f t="shared" si="2"/>
        <v>2.8922631959509282E-3</v>
      </c>
      <c r="E59" s="238">
        <f t="shared" si="0"/>
        <v>0.56140350877194856</v>
      </c>
      <c r="F59" s="2">
        <f t="shared" si="1"/>
        <v>3</v>
      </c>
    </row>
    <row r="60" spans="1:6" x14ac:dyDescent="0.35">
      <c r="A60" s="72">
        <v>10</v>
      </c>
      <c r="B60" s="164" t="s">
        <v>56</v>
      </c>
      <c r="C60" s="72">
        <v>0.48879248011569054</v>
      </c>
      <c r="D60" s="237">
        <f t="shared" si="2"/>
        <v>2.3499638467100459E-2</v>
      </c>
      <c r="E60" s="238">
        <f t="shared" si="0"/>
        <v>4.5871559633027434</v>
      </c>
      <c r="F60" s="2">
        <f t="shared" si="1"/>
        <v>3</v>
      </c>
    </row>
    <row r="61" spans="1:6" x14ac:dyDescent="0.35">
      <c r="A61" s="72">
        <v>11</v>
      </c>
      <c r="B61" s="164" t="s">
        <v>57</v>
      </c>
      <c r="C61" s="72">
        <v>0.46113521330441071</v>
      </c>
      <c r="D61" s="237">
        <f t="shared" si="2"/>
        <v>2.7657266811279835E-2</v>
      </c>
      <c r="E61" s="238">
        <f t="shared" si="0"/>
        <v>5.6582840236686405</v>
      </c>
      <c r="F61" s="2">
        <f t="shared" si="1"/>
        <v>4</v>
      </c>
    </row>
    <row r="62" spans="1:6" x14ac:dyDescent="0.35">
      <c r="A62" s="72">
        <v>12</v>
      </c>
      <c r="B62" s="164" t="s">
        <v>69</v>
      </c>
      <c r="C62" s="72">
        <v>0.44649313087490961</v>
      </c>
      <c r="D62" s="237">
        <f t="shared" si="2"/>
        <v>1.4642082429501102E-2</v>
      </c>
      <c r="E62" s="238">
        <f t="shared" si="0"/>
        <v>3.175225401803218</v>
      </c>
      <c r="F62" s="2">
        <f t="shared" si="1"/>
        <v>4</v>
      </c>
    </row>
    <row r="63" spans="1:6" x14ac:dyDescent="0.35">
      <c r="A63" s="72">
        <v>13</v>
      </c>
      <c r="B63" s="164" t="s">
        <v>73</v>
      </c>
      <c r="C63" s="72">
        <v>0.44486623282718724</v>
      </c>
      <c r="D63" s="237">
        <f t="shared" si="2"/>
        <v>1.6268980477223693E-3</v>
      </c>
      <c r="E63" s="238">
        <f t="shared" si="0"/>
        <v>0.36437246963563352</v>
      </c>
      <c r="F63" s="2">
        <f t="shared" si="1"/>
        <v>4</v>
      </c>
    </row>
    <row r="64" spans="1:6" x14ac:dyDescent="0.35">
      <c r="A64" s="72">
        <v>14</v>
      </c>
      <c r="B64" s="164" t="s">
        <v>62</v>
      </c>
      <c r="C64" s="72">
        <v>0.43872017353579174</v>
      </c>
      <c r="D64" s="237">
        <f t="shared" si="2"/>
        <v>6.1460592913955003E-3</v>
      </c>
      <c r="E64" s="238">
        <f t="shared" si="0"/>
        <v>1.3815522145469283</v>
      </c>
      <c r="F64" s="2">
        <f t="shared" si="1"/>
        <v>4</v>
      </c>
    </row>
    <row r="65" spans="1:6" ht="25.5" x14ac:dyDescent="0.35">
      <c r="A65" s="72">
        <v>15</v>
      </c>
      <c r="B65" s="164" t="s">
        <v>71</v>
      </c>
      <c r="C65" s="72">
        <v>0.43383947939262468</v>
      </c>
      <c r="D65" s="237">
        <f t="shared" si="2"/>
        <v>4.8806941431670525E-3</v>
      </c>
      <c r="E65" s="238">
        <f t="shared" si="0"/>
        <v>1.1124845488257162</v>
      </c>
      <c r="F65" s="2">
        <f t="shared" si="1"/>
        <v>4</v>
      </c>
    </row>
    <row r="66" spans="1:6" ht="25.5" x14ac:dyDescent="0.35">
      <c r="A66" s="72">
        <v>16</v>
      </c>
      <c r="B66" s="164" t="s">
        <v>58</v>
      </c>
      <c r="C66" s="72">
        <v>0.43022415039768613</v>
      </c>
      <c r="D66" s="237">
        <f t="shared" si="2"/>
        <v>3.6153289949385492E-3</v>
      </c>
      <c r="E66" s="238">
        <f t="shared" si="0"/>
        <v>0.8333333333333357</v>
      </c>
      <c r="F66" s="2">
        <f t="shared" si="1"/>
        <v>4</v>
      </c>
    </row>
    <row r="67" spans="1:6" x14ac:dyDescent="0.35">
      <c r="A67" s="72">
        <v>17</v>
      </c>
      <c r="B67" s="164" t="s">
        <v>63</v>
      </c>
      <c r="C67" s="72">
        <v>0.42154736080983368</v>
      </c>
      <c r="D67" s="237">
        <f t="shared" si="2"/>
        <v>8.6767895878524515E-3</v>
      </c>
      <c r="E67" s="238">
        <f t="shared" si="0"/>
        <v>2.0168067226890662</v>
      </c>
      <c r="F67" s="2">
        <f t="shared" si="1"/>
        <v>4</v>
      </c>
    </row>
    <row r="68" spans="1:6" x14ac:dyDescent="0.35">
      <c r="A68" s="72">
        <v>18</v>
      </c>
      <c r="B68" s="164" t="s">
        <v>68</v>
      </c>
      <c r="C68" s="72">
        <v>0.42136659436008672</v>
      </c>
      <c r="D68" s="237">
        <f t="shared" si="2"/>
        <v>1.8076644974696077E-4</v>
      </c>
      <c r="E68" s="238">
        <f t="shared" si="0"/>
        <v>4.288164665523958E-2</v>
      </c>
      <c r="F68" s="2">
        <f t="shared" si="1"/>
        <v>4</v>
      </c>
    </row>
    <row r="69" spans="1:6" ht="25.5" x14ac:dyDescent="0.35">
      <c r="A69" s="72">
        <v>19</v>
      </c>
      <c r="B69" s="164" t="s">
        <v>64</v>
      </c>
      <c r="C69" s="72">
        <v>0.40672451193058567</v>
      </c>
      <c r="D69" s="237">
        <f>C68-C69</f>
        <v>1.4642082429501047E-2</v>
      </c>
      <c r="E69" s="238">
        <f t="shared" si="0"/>
        <v>3.4749034749034666</v>
      </c>
      <c r="F69" s="2">
        <f t="shared" si="1"/>
        <v>4</v>
      </c>
    </row>
    <row r="70" spans="1:6" x14ac:dyDescent="0.35">
      <c r="A70" s="72">
        <v>20</v>
      </c>
      <c r="B70" s="164" t="s">
        <v>70</v>
      </c>
      <c r="C70" s="72">
        <v>0.39614967462039041</v>
      </c>
      <c r="D70" s="237">
        <f>C69-C70</f>
        <v>1.0574837310195262E-2</v>
      </c>
      <c r="E70" s="238">
        <f t="shared" si="0"/>
        <v>2.6000000000000085</v>
      </c>
      <c r="F70" s="2">
        <f t="shared" si="1"/>
        <v>4</v>
      </c>
    </row>
    <row r="71" spans="1:6" x14ac:dyDescent="0.35">
      <c r="A71" s="72">
        <v>21</v>
      </c>
      <c r="B71" s="72" t="s">
        <v>67</v>
      </c>
      <c r="C71" s="72">
        <v>0.37075198843094714</v>
      </c>
      <c r="D71" s="237">
        <f t="shared" ref="D71:D78" si="3">C70-C71</f>
        <v>2.5397686189443269E-2</v>
      </c>
      <c r="E71" s="238">
        <f t="shared" si="0"/>
        <v>6.4111339265343457</v>
      </c>
      <c r="F71" s="2">
        <f t="shared" si="1"/>
        <v>5</v>
      </c>
    </row>
    <row r="72" spans="1:6" x14ac:dyDescent="0.35">
      <c r="A72" s="72">
        <v>22</v>
      </c>
      <c r="B72" s="72" t="s">
        <v>49</v>
      </c>
      <c r="C72" s="72">
        <v>0.3694866232827187</v>
      </c>
      <c r="D72" s="237">
        <f t="shared" si="3"/>
        <v>1.2653651482284478E-3</v>
      </c>
      <c r="E72" s="238">
        <f t="shared" si="0"/>
        <v>0.34129692832763409</v>
      </c>
      <c r="F72" s="2">
        <f t="shared" si="1"/>
        <v>5</v>
      </c>
    </row>
    <row r="73" spans="1:6" x14ac:dyDescent="0.35">
      <c r="A73" s="72">
        <v>23</v>
      </c>
      <c r="B73" s="72" t="s">
        <v>72</v>
      </c>
      <c r="C73" s="72">
        <v>0.33920824295010843</v>
      </c>
      <c r="D73" s="237">
        <f t="shared" si="3"/>
        <v>3.0278380332610266E-2</v>
      </c>
      <c r="E73" s="238">
        <f t="shared" si="0"/>
        <v>8.1947162426614479</v>
      </c>
      <c r="F73" s="2">
        <f t="shared" si="1"/>
        <v>6</v>
      </c>
    </row>
    <row r="74" spans="1:6" x14ac:dyDescent="0.35">
      <c r="A74" s="72">
        <v>24</v>
      </c>
      <c r="B74" s="72" t="s">
        <v>79</v>
      </c>
      <c r="C74" s="72">
        <v>0.32248734634851767</v>
      </c>
      <c r="D74" s="237">
        <f t="shared" si="3"/>
        <v>1.6720896601590762E-2</v>
      </c>
      <c r="E74" s="238">
        <f t="shared" si="0"/>
        <v>4.9293898214761578</v>
      </c>
      <c r="F74" s="2">
        <f t="shared" si="1"/>
        <v>6</v>
      </c>
    </row>
    <row r="75" spans="1:6" x14ac:dyDescent="0.35">
      <c r="A75" s="72">
        <v>25</v>
      </c>
      <c r="B75" s="164" t="s">
        <v>66</v>
      </c>
      <c r="C75" s="72">
        <v>0.3159797541576283</v>
      </c>
      <c r="D75" s="237">
        <f t="shared" si="3"/>
        <v>6.5075921908893664E-3</v>
      </c>
      <c r="E75" s="238">
        <f t="shared" si="0"/>
        <v>2.0179372197309404</v>
      </c>
      <c r="F75" s="2">
        <f t="shared" si="1"/>
        <v>6</v>
      </c>
    </row>
    <row r="76" spans="1:6" x14ac:dyDescent="0.35">
      <c r="A76" s="72">
        <v>26</v>
      </c>
      <c r="B76" s="164" t="s">
        <v>52</v>
      </c>
      <c r="C76" s="72">
        <v>0.30892986261749816</v>
      </c>
      <c r="D76" s="237">
        <f t="shared" si="3"/>
        <v>7.0498915401301376E-3</v>
      </c>
      <c r="E76" s="238">
        <f t="shared" si="0"/>
        <v>2.2311212814645267</v>
      </c>
      <c r="F76" s="2">
        <f t="shared" si="1"/>
        <v>6</v>
      </c>
    </row>
    <row r="77" spans="1:6" x14ac:dyDescent="0.35">
      <c r="A77" s="72">
        <v>27</v>
      </c>
      <c r="B77" s="164" t="s">
        <v>55</v>
      </c>
      <c r="C77" s="72">
        <v>0.30694143167028198</v>
      </c>
      <c r="D77" s="237">
        <f t="shared" si="3"/>
        <v>1.9884309472161799E-3</v>
      </c>
      <c r="E77" s="238">
        <f t="shared" si="0"/>
        <v>0.64365125804563528</v>
      </c>
      <c r="F77" s="2">
        <f t="shared" si="1"/>
        <v>6</v>
      </c>
    </row>
    <row r="78" spans="1:6" x14ac:dyDescent="0.35">
      <c r="A78" s="72">
        <v>28</v>
      </c>
      <c r="B78" s="164" t="s">
        <v>54</v>
      </c>
      <c r="C78" s="72">
        <v>0.29067245119305857</v>
      </c>
      <c r="D78" s="237">
        <f t="shared" si="3"/>
        <v>1.6268980477223416E-2</v>
      </c>
      <c r="E78" s="238">
        <f t="shared" si="0"/>
        <v>5.3003533568904562</v>
      </c>
      <c r="F78" s="2">
        <f t="shared" si="1"/>
        <v>7</v>
      </c>
    </row>
    <row r="79" spans="1:6" x14ac:dyDescent="0.35">
      <c r="A79" s="72">
        <v>29</v>
      </c>
      <c r="B79" s="72" t="s">
        <v>53</v>
      </c>
      <c r="C79" s="72">
        <v>0.24566160520607375</v>
      </c>
      <c r="D79" s="237">
        <f t="shared" ref="D79:D81" si="4">C78-C79</f>
        <v>4.5010845986984821E-2</v>
      </c>
      <c r="E79" s="238">
        <f t="shared" ref="E79:E81" si="5">(C78-C79)/C78*100</f>
        <v>15.485074626865675</v>
      </c>
      <c r="F79" s="2">
        <f t="shared" ref="F79:F81" si="6">IF(E79&lt;5,F78,(F78+1))</f>
        <v>8</v>
      </c>
    </row>
    <row r="80" spans="1:6" x14ac:dyDescent="0.35">
      <c r="A80" s="72">
        <v>30</v>
      </c>
      <c r="B80" s="72" t="s">
        <v>78</v>
      </c>
      <c r="C80" s="72">
        <v>0.21484092552422268</v>
      </c>
      <c r="D80" s="237">
        <f t="shared" si="4"/>
        <v>3.0820679681851065E-2</v>
      </c>
      <c r="E80" s="238">
        <f t="shared" si="5"/>
        <v>12.545989698307586</v>
      </c>
      <c r="F80" s="2">
        <f t="shared" si="6"/>
        <v>9</v>
      </c>
    </row>
    <row r="81" spans="1:6" ht="25.5" x14ac:dyDescent="0.35">
      <c r="A81" s="72">
        <v>31</v>
      </c>
      <c r="B81" s="164" t="s">
        <v>65</v>
      </c>
      <c r="C81" s="72">
        <v>0.17227042660882139</v>
      </c>
      <c r="D81" s="237">
        <f t="shared" si="4"/>
        <v>4.2570498915401295E-2</v>
      </c>
      <c r="E81" s="238">
        <f t="shared" si="5"/>
        <v>19.814892721918383</v>
      </c>
      <c r="F81" s="2">
        <f t="shared" si="6"/>
        <v>10</v>
      </c>
    </row>
  </sheetData>
  <mergeCells count="2">
    <mergeCell ref="C28:E28"/>
    <mergeCell ref="A28:B28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I47"/>
  <sheetViews>
    <sheetView topLeftCell="K1" workbookViewId="0">
      <selection activeCell="Z49" sqref="Z49"/>
    </sheetView>
  </sheetViews>
  <sheetFormatPr defaultRowHeight="12.75" x14ac:dyDescent="0.35"/>
  <cols>
    <col min="1" max="1" width="9.59765625" customWidth="1"/>
    <col min="2" max="2" width="48.86328125" customWidth="1"/>
  </cols>
  <sheetData>
    <row r="1" spans="1:34" ht="13.15" x14ac:dyDescent="0.4">
      <c r="A1" s="102" t="s">
        <v>93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</row>
    <row r="3" spans="1:34" ht="13.15" thickBot="1" x14ac:dyDescent="0.4">
      <c r="A3" s="62" t="s">
        <v>94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2"/>
      <c r="AA3" s="72"/>
      <c r="AB3" s="72"/>
      <c r="AC3" s="72"/>
      <c r="AD3" s="72"/>
      <c r="AE3" s="72"/>
      <c r="AF3" s="72"/>
      <c r="AG3" s="72"/>
      <c r="AH3" s="72"/>
    </row>
    <row r="4" spans="1:34" ht="13.5" thickTop="1" x14ac:dyDescent="0.35">
      <c r="A4" s="352" t="s">
        <v>95</v>
      </c>
      <c r="B4" s="353"/>
      <c r="C4" s="149"/>
      <c r="D4" s="354" t="s">
        <v>84</v>
      </c>
      <c r="E4" s="354"/>
      <c r="F4" s="355"/>
      <c r="G4" s="72"/>
      <c r="H4" s="72"/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</row>
    <row r="5" spans="1:34" ht="13.15" x14ac:dyDescent="0.35">
      <c r="A5" s="340" t="s">
        <v>16</v>
      </c>
      <c r="B5" s="341"/>
      <c r="C5" s="105" t="s">
        <v>96</v>
      </c>
      <c r="D5" s="107" t="str">
        <f>'2_evaluate_surveys'!$D$8</f>
        <v>Fish survey</v>
      </c>
      <c r="E5" s="107" t="str">
        <f>'2_evaluate_surveys'!$E$8</f>
        <v>Waterfowl survey</v>
      </c>
      <c r="F5" s="133" t="str">
        <f>'2_evaluate_surveys'!$F$8</f>
        <v>Marshbird Survey</v>
      </c>
      <c r="G5" s="72" t="str">
        <f>'2_evaluate_surveys'!$G$8</f>
        <v>Fox Snake Survey</v>
      </c>
      <c r="H5" s="72" t="str">
        <f>'2_evaluate_surveys'!$H$8</f>
        <v>Blanding's Turtle Survey</v>
      </c>
      <c r="I5" s="72" t="str">
        <f>'2_evaluate_surveys'!$I$8</f>
        <v>Northern Flicker Survey</v>
      </c>
      <c r="J5" s="72" t="str">
        <f>'2_evaluate_surveys'!$J$8</f>
        <v>Rusty Blackbird Survey</v>
      </c>
      <c r="K5" s="72" t="str">
        <f>'2_evaluate_surveys'!$K$8</f>
        <v>American Woodcock Survey</v>
      </c>
      <c r="L5" s="72" t="str">
        <f>'2_evaluate_surveys'!$L$8</f>
        <v>Shorebird Survey</v>
      </c>
      <c r="M5" s="72" t="str">
        <f>'2_evaluate_surveys'!$M$8</f>
        <v>Treatment Evaluation of Phragmites, invasive cattail, reed canary grass</v>
      </c>
      <c r="N5" s="72" t="str">
        <f>'2_evaluate_surveys'!$N$8</f>
        <v>Wetland Vegetation Cover Survey with annual summary of mean daily Lake Erie water level/water level management.</v>
      </c>
      <c r="O5" s="72" t="str">
        <f>'2_evaluate_surveys'!$O$8</f>
        <v>Eastern Prairie Fringed Orchid</v>
      </c>
      <c r="P5" s="72" t="str">
        <f>'2_evaluate_surveys'!$P$8</f>
        <v>Wet Prairie Monitoring</v>
      </c>
      <c r="Q5" s="72" t="str">
        <f>'2_evaluate_surveys'!$Q$8</f>
        <v>Gibraltar Wetlands Forest Invasives Inventory</v>
      </c>
      <c r="R5" s="72" t="str">
        <f>'2_evaluate_surveys'!$R$8</f>
        <v>Humbug Marsh Deer Browse Evaluation</v>
      </c>
      <c r="S5" s="72" t="str">
        <f>'2_evaluate_surveys'!$S$8</f>
        <v xml:space="preserve">Phragmites Reduction: Comparison via remote-sensing of 2017 Imagery to 2009 Baseline </v>
      </c>
      <c r="T5" s="72" t="str">
        <f>'2_evaluate_surveys'!$T$8</f>
        <v>Multi-agency water quality in the lower Detroit River and the western Lake Erie basin.</v>
      </c>
      <c r="U5" s="72" t="str">
        <f>'2_evaluate_surveys'!$U$8</f>
        <v>Muskrat Monitoring</v>
      </c>
      <c r="V5" s="72" t="str">
        <f>'2_evaluate_surveys'!$V$8</f>
        <v>Impoundment water levels</v>
      </c>
      <c r="W5" s="72" t="str">
        <f>'2_evaluate_surveys'!$W$8</f>
        <v>Forest Ecological Inventory</v>
      </c>
      <c r="X5" s="72" t="str">
        <f>'2_evaluate_surveys'!$X$8</f>
        <v>Bald Eagle Monitoring</v>
      </c>
      <c r="Y5" s="72" t="str">
        <f>'2_evaluate_surveys'!$Y$8</f>
        <v>Coordinated Canvasback Survey</v>
      </c>
      <c r="Z5" s="72" t="str">
        <f>'2_evaluate_surveys'!$Z$8</f>
        <v>Lower Great Lakes January Waterfowl Survey (as part of Mid-Winter Waterfowl Survey)</v>
      </c>
      <c r="AA5" s="72" t="str">
        <f>'2_evaluate_surveys'!$AA$8</f>
        <v xml:space="preserve">Lake sturgeon </v>
      </c>
      <c r="AB5" s="72" t="str">
        <f>'2_evaluate_surveys'!$AB$8</f>
        <v>HGM</v>
      </c>
      <c r="AC5" s="72" t="str">
        <f>'2_evaluate_surveys'!$AC$8</f>
        <v>Grassy Island ground water monitoring</v>
      </c>
      <c r="AD5" s="72" t="str">
        <f>'2_evaluate_surveys'!$AD$8</f>
        <v>NOAA lake level monitoring</v>
      </c>
      <c r="AE5" s="72" t="str">
        <f>'2_evaluate_surveys'!AE$8</f>
        <v>USGS stream gauge monitoring</v>
      </c>
      <c r="AF5" s="72" t="str">
        <f>'2_evaluate_surveys'!AF$8</f>
        <v>Aerial Deer Survey</v>
      </c>
      <c r="AG5" s="72" t="str">
        <f>'2_evaluate_surveys'!AG$8</f>
        <v>Detroit River Hawk Watch</v>
      </c>
      <c r="AH5" s="72" t="str">
        <f>'2_evaluate_surveys'!AH$8</f>
        <v>Common Tern Monitoring</v>
      </c>
    </row>
    <row r="6" spans="1:34" x14ac:dyDescent="0.35">
      <c r="A6" s="139">
        <v>1</v>
      </c>
      <c r="B6" s="137" t="s">
        <v>22</v>
      </c>
      <c r="C6" s="141" t="s">
        <v>97</v>
      </c>
      <c r="D6" s="142">
        <f>IF((MAX('2_evaluate_surveys'!$D9:$AE9)-MIN('2_evaluate_surveys'!$D9:$AE9))=0,0,(('2_evaluate_surveys'!D9-MIN('2_evaluate_surveys'!$D9:$AE9))/(MAX('2_evaluate_surveys'!$D9:$AE9)-MIN('2_evaluate_surveys'!$D9:$AE9))))</f>
        <v>0</v>
      </c>
      <c r="E6" s="142">
        <f>IF((MAX('2_evaluate_surveys'!$D9:$AE9)-MIN('2_evaluate_surveys'!$D9:$AE9))=0,0,(('2_evaluate_surveys'!E9-MIN('2_evaluate_surveys'!$D9:$AE9))/(MAX('2_evaluate_surveys'!$D9:$AE9)-MIN('2_evaluate_surveys'!$D9:$AE9))))</f>
        <v>0</v>
      </c>
      <c r="F6" s="147">
        <f>IF((MAX('2_evaluate_surveys'!$D9:$AE9)-MIN('2_evaluate_surveys'!$D9:$AE9))=0,0,(('2_evaluate_surveys'!F9-MIN('2_evaluate_surveys'!$D9:$AE9))/(MAX('2_evaluate_surveys'!$D9:$AE9)-MIN('2_evaluate_surveys'!$D9:$AE9))))</f>
        <v>0</v>
      </c>
      <c r="G6" s="72">
        <f>IF((MAX('2_evaluate_surveys'!$D9:$AE9)-MIN('2_evaluate_surveys'!$D9:$AE9))=0,0,(('2_evaluate_surveys'!G9-MIN('2_evaluate_surveys'!$D9:$AE9))/(MAX('2_evaluate_surveys'!$D9:$AE9)-MIN('2_evaluate_surveys'!$D9:$AE9))))</f>
        <v>0</v>
      </c>
      <c r="H6" s="72">
        <f>IF((MAX('2_evaluate_surveys'!$D9:$AE9)-MIN('2_evaluate_surveys'!$D9:$AE9))=0,0,(('2_evaluate_surveys'!H9-MIN('2_evaluate_surveys'!$D9:$AE9))/(MAX('2_evaluate_surveys'!$D9:$AE9)-MIN('2_evaluate_surveys'!$D9:$AE9))))</f>
        <v>0</v>
      </c>
      <c r="I6" s="72">
        <f>IF((MAX('2_evaluate_surveys'!$D9:$AE9)-MIN('2_evaluate_surveys'!$D9:$AE9))=0,0,(('2_evaluate_surveys'!I9-MIN('2_evaluate_surveys'!$D9:$AE9))/(MAX('2_evaluate_surveys'!$D9:$AE9)-MIN('2_evaluate_surveys'!$D9:$AE9))))</f>
        <v>0</v>
      </c>
      <c r="J6" s="72">
        <f>IF((MAX('2_evaluate_surveys'!$D9:$AE9)-MIN('2_evaluate_surveys'!$D9:$AE9))=0,0,(('2_evaluate_surveys'!J9-MIN('2_evaluate_surveys'!$D9:$AE9))/(MAX('2_evaluate_surveys'!$D9:$AE9)-MIN('2_evaluate_surveys'!$D9:$AE9))))</f>
        <v>0</v>
      </c>
      <c r="K6" s="72">
        <f>IF((MAX('2_evaluate_surveys'!$D9:$AE9)-MIN('2_evaluate_surveys'!$D9:$AE9))=0,0,(('2_evaluate_surveys'!K9-MIN('2_evaluate_surveys'!$D9:$AE9))/(MAX('2_evaluate_surveys'!$D9:$AE9)-MIN('2_evaluate_surveys'!$D9:$AE9))))</f>
        <v>0</v>
      </c>
      <c r="L6" s="72">
        <f>IF((MAX('2_evaluate_surveys'!$D9:$AE9)-MIN('2_evaluate_surveys'!$D9:$AE9))=0,0,(('2_evaluate_surveys'!L9-MIN('2_evaluate_surveys'!$D9:$AE9))/(MAX('2_evaluate_surveys'!$D9:$AE9)-MIN('2_evaluate_surveys'!$D9:$AE9))))</f>
        <v>0</v>
      </c>
      <c r="M6" s="72">
        <f>IF((MAX('2_evaluate_surveys'!$D9:$AE9)-MIN('2_evaluate_surveys'!$D9:$AE9))=0,0,(('2_evaluate_surveys'!M9-MIN('2_evaluate_surveys'!$D9:$AE9))/(MAX('2_evaluate_surveys'!$D9:$AE9)-MIN('2_evaluate_surveys'!$D9:$AE9))))</f>
        <v>0</v>
      </c>
      <c r="N6" s="72">
        <f>IF((MAX('2_evaluate_surveys'!$D9:$AE9)-MIN('2_evaluate_surveys'!$D9:$AE9))=0,0,(('2_evaluate_surveys'!N9-MIN('2_evaluate_surveys'!$D9:$AE9))/(MAX('2_evaluate_surveys'!$D9:$AE9)-MIN('2_evaluate_surveys'!$D9:$AE9))))</f>
        <v>0</v>
      </c>
      <c r="O6" s="72">
        <f>IF((MAX('2_evaluate_surveys'!$D9:$AE9)-MIN('2_evaluate_surveys'!$D9:$AE9))=0,0,(('2_evaluate_surveys'!O9-MIN('2_evaluate_surveys'!$D9:$AE9))/(MAX('2_evaluate_surveys'!$D9:$AE9)-MIN('2_evaluate_surveys'!$D9:$AE9))))</f>
        <v>0</v>
      </c>
      <c r="P6" s="72">
        <f>IF((MAX('2_evaluate_surveys'!$D9:$AE9)-MIN('2_evaluate_surveys'!$D9:$AE9))=0,0,(('2_evaluate_surveys'!P9-MIN('2_evaluate_surveys'!$D9:$AE9))/(MAX('2_evaluate_surveys'!$D9:$AE9)-MIN('2_evaluate_surveys'!$D9:$AE9))))</f>
        <v>0</v>
      </c>
      <c r="Q6" s="72">
        <f>IF((MAX('2_evaluate_surveys'!$D9:$AE9)-MIN('2_evaluate_surveys'!$D9:$AE9))=0,0,(('2_evaluate_surveys'!Q9-MIN('2_evaluate_surveys'!$D9:$AE9))/(MAX('2_evaluate_surveys'!$D9:$AE9)-MIN('2_evaluate_surveys'!$D9:$AE9))))</f>
        <v>0</v>
      </c>
      <c r="R6" s="72">
        <f>IF((MAX('2_evaluate_surveys'!$D9:$AE9)-MIN('2_evaluate_surveys'!$D9:$AE9))=0,0,(('2_evaluate_surveys'!R9-MIN('2_evaluate_surveys'!$D9:$AE9))/(MAX('2_evaluate_surveys'!$D9:$AE9)-MIN('2_evaluate_surveys'!$D9:$AE9))))</f>
        <v>0</v>
      </c>
      <c r="S6" s="72">
        <f>IF((MAX('2_evaluate_surveys'!$D9:$AE9)-MIN('2_evaluate_surveys'!$D9:$AE9))=0,0,(('2_evaluate_surveys'!S9-MIN('2_evaluate_surveys'!$D9:$AE9))/(MAX('2_evaluate_surveys'!$D9:$AE9)-MIN('2_evaluate_surveys'!$D9:$AE9))))</f>
        <v>0</v>
      </c>
      <c r="T6" s="72">
        <f>IF((MAX('2_evaluate_surveys'!$D9:$AE9)-MIN('2_evaluate_surveys'!$D9:$AE9))=0,0,(('2_evaluate_surveys'!T9-MIN('2_evaluate_surveys'!$D9:$AE9))/(MAX('2_evaluate_surveys'!$D9:$AE9)-MIN('2_evaluate_surveys'!$D9:$AE9))))</f>
        <v>0</v>
      </c>
      <c r="U6" s="72">
        <f>IF((MAX('2_evaluate_surveys'!$D9:$AE9)-MIN('2_evaluate_surveys'!$D9:$AE9))=0,0,(('2_evaluate_surveys'!U9-MIN('2_evaluate_surveys'!$D9:$AE9))/(MAX('2_evaluate_surveys'!$D9:$AE9)-MIN('2_evaluate_surveys'!$D9:$AE9))))</f>
        <v>0</v>
      </c>
      <c r="V6" s="72">
        <f>IF((MAX('2_evaluate_surveys'!$D9:$AE9)-MIN('2_evaluate_surveys'!$D9:$AE9))=0,0,(('2_evaluate_surveys'!V9-MIN('2_evaluate_surveys'!$D9:$AE9))/(MAX('2_evaluate_surveys'!$D9:$AE9)-MIN('2_evaluate_surveys'!$D9:$AE9))))</f>
        <v>0</v>
      </c>
      <c r="W6" s="72">
        <f>IF((MAX('2_evaluate_surveys'!$D9:$AE9)-MIN('2_evaluate_surveys'!$D9:$AE9))=0,0,(('2_evaluate_surveys'!W9-MIN('2_evaluate_surveys'!$D9:$AE9))/(MAX('2_evaluate_surveys'!$D9:$AE9)-MIN('2_evaluate_surveys'!$D9:$AE9))))</f>
        <v>0</v>
      </c>
      <c r="X6" s="72">
        <f>IF((MAX('2_evaluate_surveys'!$D9:$AE9)-MIN('2_evaluate_surveys'!$D9:$AE9))=0,0,(('2_evaluate_surveys'!X9-MIN('2_evaluate_surveys'!$D9:$AE9))/(MAX('2_evaluate_surveys'!$D9:$AE9)-MIN('2_evaluate_surveys'!$D9:$AE9))))</f>
        <v>0</v>
      </c>
      <c r="Y6" s="72">
        <f>IF((MAX('2_evaluate_surveys'!$D9:$AE9)-MIN('2_evaluate_surveys'!$D9:$AE9))=0,0,(('2_evaluate_surveys'!Y9-MIN('2_evaluate_surveys'!$D9:$AE9))/(MAX('2_evaluate_surveys'!$D9:$AE9)-MIN('2_evaluate_surveys'!$D9:$AE9))))</f>
        <v>0</v>
      </c>
      <c r="Z6" s="72">
        <f>IF((MAX('2_evaluate_surveys'!$D9:$AE9)-MIN('2_evaluate_surveys'!$D9:$AE9))=0,0,(('2_evaluate_surveys'!Z9-MIN('2_evaluate_surveys'!$D9:$AE9))/(MAX('2_evaluate_surveys'!$D9:$AE9)-MIN('2_evaluate_surveys'!$D9:$AE9))))</f>
        <v>0</v>
      </c>
      <c r="AA6" s="72">
        <f>IF((MAX('2_evaluate_surveys'!$D9:$AE9)-MIN('2_evaluate_surveys'!$D9:$AE9))=0,0,(('2_evaluate_surveys'!AA9-MIN('2_evaluate_surveys'!$D9:$AE9))/(MAX('2_evaluate_surveys'!$D9:$AE9)-MIN('2_evaluate_surveys'!$D9:$AE9))))</f>
        <v>0</v>
      </c>
      <c r="AB6" s="72">
        <f>IF((MAX('2_evaluate_surveys'!$D9:$AE9)-MIN('2_evaluate_surveys'!$D9:$AE9))=0,0,(('2_evaluate_surveys'!AB9-MIN('2_evaluate_surveys'!$D9:$AE9))/(MAX('2_evaluate_surveys'!$D9:$AE9)-MIN('2_evaluate_surveys'!$D9:$AE9))))</f>
        <v>0</v>
      </c>
      <c r="AC6" s="72">
        <f>IF((MAX('2_evaluate_surveys'!$D9:$AE9)-MIN('2_evaluate_surveys'!$D9:$AE9))=0,0,(('2_evaluate_surveys'!AC9-MIN('2_evaluate_surveys'!$D9:$AE9))/(MAX('2_evaluate_surveys'!$D9:$AE9)-MIN('2_evaluate_surveys'!$D9:$AE9))))</f>
        <v>0</v>
      </c>
      <c r="AD6" s="72">
        <f>IF((MAX('2_evaluate_surveys'!$D9:$AE9)-MIN('2_evaluate_surveys'!$D9:$AE9))=0,0,(('2_evaluate_surveys'!AD9-MIN('2_evaluate_surveys'!$D9:$AE9))/(MAX('2_evaluate_surveys'!$D9:$AE9)-MIN('2_evaluate_surveys'!$D9:$AE9))))</f>
        <v>0</v>
      </c>
      <c r="AE6" s="72">
        <f>IF((MAX('2_evaluate_surveys'!$D9:$AE9)-MIN('2_evaluate_surveys'!$D9:$AE9))=0,0,(('2_evaluate_surveys'!AE9-MIN('2_evaluate_surveys'!$D9:$AE9))/(MAX('2_evaluate_surveys'!$D9:$AE9)-MIN('2_evaluate_surveys'!$D9:$AE9))))</f>
        <v>0</v>
      </c>
      <c r="AF6" s="72">
        <f>IF((MAX('2_evaluate_surveys'!$D9:$AE9)-MIN('2_evaluate_surveys'!$D9:$AE9))=0,0,(('2_evaluate_surveys'!AF9-MIN('2_evaluate_surveys'!$D9:$AE9))/(MAX('2_evaluate_surveys'!$D9:$AE9)-MIN('2_evaluate_surveys'!$D9:$AE9))))</f>
        <v>0</v>
      </c>
      <c r="AG6" s="72">
        <f>IF((MAX('2_evaluate_surveys'!$D9:$AE9)-MIN('2_evaluate_surveys'!$D9:$AE9))=0,0,(('2_evaluate_surveys'!AG9-MIN('2_evaluate_surveys'!$D9:$AE9))/(MAX('2_evaluate_surveys'!$D9:$AE9)-MIN('2_evaluate_surveys'!$D9:$AE9))))</f>
        <v>0</v>
      </c>
      <c r="AH6" s="72">
        <f>IF((MAX('2_evaluate_surveys'!$D9:$AE9)-MIN('2_evaluate_surveys'!$D9:$AE9))=0,0,(('2_evaluate_surveys'!AH9-MIN('2_evaluate_surveys'!$D9:$AE9))/(MAX('2_evaluate_surveys'!$D9:$AE9)-MIN('2_evaluate_surveys'!$D9:$AE9))))</f>
        <v>0</v>
      </c>
    </row>
    <row r="7" spans="1:34" x14ac:dyDescent="0.35">
      <c r="A7" s="139">
        <v>2</v>
      </c>
      <c r="B7" s="137" t="s">
        <v>24</v>
      </c>
      <c r="C7" s="141" t="s">
        <v>97</v>
      </c>
      <c r="D7" s="142">
        <f>IF((MAX('2_evaluate_surveys'!$D10:$AE10)-MIN('2_evaluate_surveys'!$D10:$AE10))=0,0,(('2_evaluate_surveys'!D10-MIN('2_evaluate_surveys'!$D10:$AE10))/(MAX('2_evaluate_surveys'!$D10:$AE10)-MIN('2_evaluate_surveys'!$D10:$AE10))))</f>
        <v>1</v>
      </c>
      <c r="E7" s="142">
        <f>IF((MAX('2_evaluate_surveys'!$D10:$AE10)-MIN('2_evaluate_surveys'!$D10:$AE10))=0,0,(('2_evaluate_surveys'!E10-MIN('2_evaluate_surveys'!$D10:$AE10))/(MAX('2_evaluate_surveys'!$D10:$AE10)-MIN('2_evaluate_surveys'!$D10:$AE10))))</f>
        <v>1</v>
      </c>
      <c r="F7" s="147">
        <f>IF((MAX('2_evaluate_surveys'!$D10:$AE10)-MIN('2_evaluate_surveys'!$D10:$AE10))=0,0,(('2_evaluate_surveys'!F10-MIN('2_evaluate_surveys'!$D10:$AE10))/(MAX('2_evaluate_surveys'!$D10:$AE10)-MIN('2_evaluate_surveys'!$D10:$AE10))))</f>
        <v>1</v>
      </c>
      <c r="G7" s="72">
        <f>IF((MAX('2_evaluate_surveys'!$D10:$AE10)-MIN('2_evaluate_surveys'!$D10:$AE10))=0,0,(('2_evaluate_surveys'!G10-MIN('2_evaluate_surveys'!$D10:$AE10))/(MAX('2_evaluate_surveys'!$D10:$AE10)-MIN('2_evaluate_surveys'!$D10:$AE10))))</f>
        <v>1</v>
      </c>
      <c r="H7" s="72">
        <f>IF((MAX('2_evaluate_surveys'!$D10:$AE10)-MIN('2_evaluate_surveys'!$D10:$AE10))=0,0,(('2_evaluate_surveys'!H10-MIN('2_evaluate_surveys'!$D10:$AE10))/(MAX('2_evaluate_surveys'!$D10:$AE10)-MIN('2_evaluate_surveys'!$D10:$AE10))))</f>
        <v>1</v>
      </c>
      <c r="I7" s="72">
        <f>IF((MAX('2_evaluate_surveys'!$D10:$AE10)-MIN('2_evaluate_surveys'!$D10:$AE10))=0,0,(('2_evaluate_surveys'!I10-MIN('2_evaluate_surveys'!$D10:$AE10))/(MAX('2_evaluate_surveys'!$D10:$AE10)-MIN('2_evaluate_surveys'!$D10:$AE10))))</f>
        <v>1</v>
      </c>
      <c r="J7" s="72">
        <f>IF((MAX('2_evaluate_surveys'!$D10:$AE10)-MIN('2_evaluate_surveys'!$D10:$AE10))=0,0,(('2_evaluate_surveys'!J10-MIN('2_evaluate_surveys'!$D10:$AE10))/(MAX('2_evaluate_surveys'!$D10:$AE10)-MIN('2_evaluate_surveys'!$D10:$AE10))))</f>
        <v>1</v>
      </c>
      <c r="K7" s="72">
        <f>IF((MAX('2_evaluate_surveys'!$D10:$AE10)-MIN('2_evaluate_surveys'!$D10:$AE10))=0,0,(('2_evaluate_surveys'!K10-MIN('2_evaluate_surveys'!$D10:$AE10))/(MAX('2_evaluate_surveys'!$D10:$AE10)-MIN('2_evaluate_surveys'!$D10:$AE10))))</f>
        <v>1</v>
      </c>
      <c r="L7" s="72">
        <f>IF((MAX('2_evaluate_surveys'!$D10:$AE10)-MIN('2_evaluate_surveys'!$D10:$AE10))=0,0,(('2_evaluate_surveys'!L10-MIN('2_evaluate_surveys'!$D10:$AE10))/(MAX('2_evaluate_surveys'!$D10:$AE10)-MIN('2_evaluate_surveys'!$D10:$AE10))))</f>
        <v>1</v>
      </c>
      <c r="M7" s="72">
        <f>IF((MAX('2_evaluate_surveys'!$D10:$AE10)-MIN('2_evaluate_surveys'!$D10:$AE10))=0,0,(('2_evaluate_surveys'!M10-MIN('2_evaluate_surveys'!$D10:$AE10))/(MAX('2_evaluate_surveys'!$D10:$AE10)-MIN('2_evaluate_surveys'!$D10:$AE10))))</f>
        <v>0</v>
      </c>
      <c r="N7" s="72">
        <f>IF((MAX('2_evaluate_surveys'!$D10:$AE10)-MIN('2_evaluate_surveys'!$D10:$AE10))=0,0,(('2_evaluate_surveys'!N10-MIN('2_evaluate_surveys'!$D10:$AE10))/(MAX('2_evaluate_surveys'!$D10:$AE10)-MIN('2_evaluate_surveys'!$D10:$AE10))))</f>
        <v>1</v>
      </c>
      <c r="O7" s="72">
        <f>IF((MAX('2_evaluate_surveys'!$D10:$AE10)-MIN('2_evaluate_surveys'!$D10:$AE10))=0,0,(('2_evaluate_surveys'!O10-MIN('2_evaluate_surveys'!$D10:$AE10))/(MAX('2_evaluate_surveys'!$D10:$AE10)-MIN('2_evaluate_surveys'!$D10:$AE10))))</f>
        <v>1</v>
      </c>
      <c r="P7" s="72">
        <f>IF((MAX('2_evaluate_surveys'!$D10:$AE10)-MIN('2_evaluate_surveys'!$D10:$AE10))=0,0,(('2_evaluate_surveys'!P10-MIN('2_evaluate_surveys'!$D10:$AE10))/(MAX('2_evaluate_surveys'!$D10:$AE10)-MIN('2_evaluate_surveys'!$D10:$AE10))))</f>
        <v>1</v>
      </c>
      <c r="Q7" s="72">
        <f>IF((MAX('2_evaluate_surveys'!$D10:$AE10)-MIN('2_evaluate_surveys'!$D10:$AE10))=0,0,(('2_evaluate_surveys'!Q10-MIN('2_evaluate_surveys'!$D10:$AE10))/(MAX('2_evaluate_surveys'!$D10:$AE10)-MIN('2_evaluate_surveys'!$D10:$AE10))))</f>
        <v>1</v>
      </c>
      <c r="R7" s="72">
        <f>IF((MAX('2_evaluate_surveys'!$D10:$AE10)-MIN('2_evaluate_surveys'!$D10:$AE10))=0,0,(('2_evaluate_surveys'!R10-MIN('2_evaluate_surveys'!$D10:$AE10))/(MAX('2_evaluate_surveys'!$D10:$AE10)-MIN('2_evaluate_surveys'!$D10:$AE10))))</f>
        <v>0</v>
      </c>
      <c r="S7" s="72">
        <f>IF((MAX('2_evaluate_surveys'!$D10:$AE10)-MIN('2_evaluate_surveys'!$D10:$AE10))=0,0,(('2_evaluate_surveys'!S10-MIN('2_evaluate_surveys'!$D10:$AE10))/(MAX('2_evaluate_surveys'!$D10:$AE10)-MIN('2_evaluate_surveys'!$D10:$AE10))))</f>
        <v>0</v>
      </c>
      <c r="T7" s="72">
        <f>IF((MAX('2_evaluate_surveys'!$D10:$AE10)-MIN('2_evaluate_surveys'!$D10:$AE10))=0,0,(('2_evaluate_surveys'!T10-MIN('2_evaluate_surveys'!$D10:$AE10))/(MAX('2_evaluate_surveys'!$D10:$AE10)-MIN('2_evaluate_surveys'!$D10:$AE10))))</f>
        <v>0</v>
      </c>
      <c r="U7" s="72">
        <f>IF((MAX('2_evaluate_surveys'!$D10:$AE10)-MIN('2_evaluate_surveys'!$D10:$AE10))=0,0,(('2_evaluate_surveys'!U10-MIN('2_evaluate_surveys'!$D10:$AE10))/(MAX('2_evaluate_surveys'!$D10:$AE10)-MIN('2_evaluate_surveys'!$D10:$AE10))))</f>
        <v>0</v>
      </c>
      <c r="V7" s="72">
        <f>IF((MAX('2_evaluate_surveys'!$D10:$AE10)-MIN('2_evaluate_surveys'!$D10:$AE10))=0,0,(('2_evaluate_surveys'!V10-MIN('2_evaluate_surveys'!$D10:$AE10))/(MAX('2_evaluate_surveys'!$D10:$AE10)-MIN('2_evaluate_surveys'!$D10:$AE10))))</f>
        <v>1</v>
      </c>
      <c r="W7" s="72">
        <f>IF((MAX('2_evaluate_surveys'!$D10:$AE10)-MIN('2_evaluate_surveys'!$D10:$AE10))=0,0,(('2_evaluate_surveys'!W10-MIN('2_evaluate_surveys'!$D10:$AE10))/(MAX('2_evaluate_surveys'!$D10:$AE10)-MIN('2_evaluate_surveys'!$D10:$AE10))))</f>
        <v>1</v>
      </c>
      <c r="X7" s="72">
        <f>IF((MAX('2_evaluate_surveys'!$D10:$AE10)-MIN('2_evaluate_surveys'!$D10:$AE10))=0,0,(('2_evaluate_surveys'!X10-MIN('2_evaluate_surveys'!$D10:$AE10))/(MAX('2_evaluate_surveys'!$D10:$AE10)-MIN('2_evaluate_surveys'!$D10:$AE10))))</f>
        <v>1</v>
      </c>
      <c r="Y7" s="72">
        <f>IF((MAX('2_evaluate_surveys'!$D10:$AE10)-MIN('2_evaluate_surveys'!$D10:$AE10))=0,0,(('2_evaluate_surveys'!Y10-MIN('2_evaluate_surveys'!$D10:$AE10))/(MAX('2_evaluate_surveys'!$D10:$AE10)-MIN('2_evaluate_surveys'!$D10:$AE10))))</f>
        <v>1</v>
      </c>
      <c r="Z7" s="72">
        <f>IF((MAX('2_evaluate_surveys'!$D10:$AE10)-MIN('2_evaluate_surveys'!$D10:$AE10))=0,0,(('2_evaluate_surveys'!Z10-MIN('2_evaluate_surveys'!$D10:$AE10))/(MAX('2_evaluate_surveys'!$D10:$AE10)-MIN('2_evaluate_surveys'!$D10:$AE10))))</f>
        <v>1</v>
      </c>
      <c r="AA7" s="72">
        <f>IF((MAX('2_evaluate_surveys'!$D10:$AE10)-MIN('2_evaluate_surveys'!$D10:$AE10))=0,0,(('2_evaluate_surveys'!AA10-MIN('2_evaluate_surveys'!$D10:$AE10))/(MAX('2_evaluate_surveys'!$D10:$AE10)-MIN('2_evaluate_surveys'!$D10:$AE10))))</f>
        <v>1</v>
      </c>
      <c r="AB7" s="72">
        <f>IF((MAX('2_evaluate_surveys'!$D10:$AE10)-MIN('2_evaluate_surveys'!$D10:$AE10))=0,0,(('2_evaluate_surveys'!AB10-MIN('2_evaluate_surveys'!$D10:$AE10))/(MAX('2_evaluate_surveys'!$D10:$AE10)-MIN('2_evaluate_surveys'!$D10:$AE10))))</f>
        <v>1</v>
      </c>
      <c r="AC7" s="72">
        <f>IF((MAX('2_evaluate_surveys'!$D10:$AE10)-MIN('2_evaluate_surveys'!$D10:$AE10))=0,0,(('2_evaluate_surveys'!AC10-MIN('2_evaluate_surveys'!$D10:$AE10))/(MAX('2_evaluate_surveys'!$D10:$AE10)-MIN('2_evaluate_surveys'!$D10:$AE10))))</f>
        <v>1</v>
      </c>
      <c r="AD7" s="72">
        <f>IF((MAX('2_evaluate_surveys'!$D10:$AE10)-MIN('2_evaluate_surveys'!$D10:$AE10))=0,0,(('2_evaluate_surveys'!AD10-MIN('2_evaluate_surveys'!$D10:$AE10))/(MAX('2_evaluate_surveys'!$D10:$AE10)-MIN('2_evaluate_surveys'!$D10:$AE10))))</f>
        <v>1</v>
      </c>
      <c r="AE7" s="72">
        <f>IF((MAX('2_evaluate_surveys'!$D10:$AE10)-MIN('2_evaluate_surveys'!$D10:$AE10))=0,0,(('2_evaluate_surveys'!AE10-MIN('2_evaluate_surveys'!$D10:$AE10))/(MAX('2_evaluate_surveys'!$D10:$AE10)-MIN('2_evaluate_surveys'!$D10:$AE10))))</f>
        <v>1</v>
      </c>
      <c r="AF7" s="72">
        <f>IF((MAX('2_evaluate_surveys'!$D10:$AE10)-MIN('2_evaluate_surveys'!$D10:$AE10))=0,0,(('2_evaluate_surveys'!AF10-MIN('2_evaluate_surveys'!$D10:$AE10))/(MAX('2_evaluate_surveys'!$D10:$AE10)-MIN('2_evaluate_surveys'!$D10:$AE10))))</f>
        <v>0</v>
      </c>
      <c r="AG7" s="72">
        <f>IF((MAX('2_evaluate_surveys'!$D10:$AE10)-MIN('2_evaluate_surveys'!$D10:$AE10))=0,0,(('2_evaluate_surveys'!AG10-MIN('2_evaluate_surveys'!$D10:$AE10))/(MAX('2_evaluate_surveys'!$D10:$AE10)-MIN('2_evaluate_surveys'!$D10:$AE10))))</f>
        <v>0</v>
      </c>
      <c r="AH7" s="72">
        <f>IF((MAX('2_evaluate_surveys'!$D10:$AE10)-MIN('2_evaluate_surveys'!$D10:$AE10))=0,0,(('2_evaluate_surveys'!AH10-MIN('2_evaluate_surveys'!$D10:$AE10))/(MAX('2_evaluate_surveys'!$D10:$AE10)-MIN('2_evaluate_surveys'!$D10:$AE10))))</f>
        <v>0</v>
      </c>
    </row>
    <row r="8" spans="1:34" x14ac:dyDescent="0.35">
      <c r="A8" s="139">
        <v>3</v>
      </c>
      <c r="B8" s="137" t="s">
        <v>98</v>
      </c>
      <c r="C8" s="141" t="s">
        <v>97</v>
      </c>
      <c r="D8" s="142">
        <f>IF((MAX('2_evaluate_surveys'!$D11:$AE11)-MIN('2_evaluate_surveys'!$D11:$AE11))=0,0,(('2_evaluate_surveys'!D11-MIN('2_evaluate_surveys'!$D11:$AE11))/(MAX('2_evaluate_surveys'!$D11:$AE11)-MIN('2_evaluate_surveys'!$D11:$AE11))))</f>
        <v>0</v>
      </c>
      <c r="E8" s="142">
        <f>IF((MAX('2_evaluate_surveys'!$D11:$AE11)-MIN('2_evaluate_surveys'!$D11:$AE11))=0,0,(('2_evaluate_surveys'!E11-MIN('2_evaluate_surveys'!$D11:$AE11))/(MAX('2_evaluate_surveys'!$D11:$AE11)-MIN('2_evaluate_surveys'!$D11:$AE11))))</f>
        <v>1</v>
      </c>
      <c r="F8" s="147">
        <f>IF((MAX('2_evaluate_surveys'!$D11:$AE11)-MIN('2_evaluate_surveys'!$D11:$AE11))=0,0,(('2_evaluate_surveys'!F11-MIN('2_evaluate_surveys'!$D11:$AE11))/(MAX('2_evaluate_surveys'!$D11:$AE11)-MIN('2_evaluate_surveys'!$D11:$AE11))))</f>
        <v>1</v>
      </c>
      <c r="G8" s="72">
        <f>IF((MAX('2_evaluate_surveys'!$D11:$AE11)-MIN('2_evaluate_surveys'!$D11:$AE11))=0,0,(('2_evaluate_surveys'!G11-MIN('2_evaluate_surveys'!$D11:$AE11))/(MAX('2_evaluate_surveys'!$D11:$AE11)-MIN('2_evaluate_surveys'!$D11:$AE11))))</f>
        <v>0</v>
      </c>
      <c r="H8" s="72">
        <f>IF((MAX('2_evaluate_surveys'!$D11:$AE11)-MIN('2_evaluate_surveys'!$D11:$AE11))=0,0,(('2_evaluate_surveys'!H11-MIN('2_evaluate_surveys'!$D11:$AE11))/(MAX('2_evaluate_surveys'!$D11:$AE11)-MIN('2_evaluate_surveys'!$D11:$AE11))))</f>
        <v>0</v>
      </c>
      <c r="I8" s="72">
        <f>IF((MAX('2_evaluate_surveys'!$D11:$AE11)-MIN('2_evaluate_surveys'!$D11:$AE11))=0,0,(('2_evaluate_surveys'!I11-MIN('2_evaluate_surveys'!$D11:$AE11))/(MAX('2_evaluate_surveys'!$D11:$AE11)-MIN('2_evaluate_surveys'!$D11:$AE11))))</f>
        <v>0</v>
      </c>
      <c r="J8" s="72">
        <f>IF((MAX('2_evaluate_surveys'!$D11:$AE11)-MIN('2_evaluate_surveys'!$D11:$AE11))=0,0,(('2_evaluate_surveys'!J11-MIN('2_evaluate_surveys'!$D11:$AE11))/(MAX('2_evaluate_surveys'!$D11:$AE11)-MIN('2_evaluate_surveys'!$D11:$AE11))))</f>
        <v>0</v>
      </c>
      <c r="K8" s="72">
        <f>IF((MAX('2_evaluate_surveys'!$D11:$AE11)-MIN('2_evaluate_surveys'!$D11:$AE11))=0,0,(('2_evaluate_surveys'!K11-MIN('2_evaluate_surveys'!$D11:$AE11))/(MAX('2_evaluate_surveys'!$D11:$AE11)-MIN('2_evaluate_surveys'!$D11:$AE11))))</f>
        <v>0</v>
      </c>
      <c r="L8" s="72">
        <f>IF((MAX('2_evaluate_surveys'!$D11:$AE11)-MIN('2_evaluate_surveys'!$D11:$AE11))=0,0,(('2_evaluate_surveys'!L11-MIN('2_evaluate_surveys'!$D11:$AE11))/(MAX('2_evaluate_surveys'!$D11:$AE11)-MIN('2_evaluate_surveys'!$D11:$AE11))))</f>
        <v>0</v>
      </c>
      <c r="M8" s="72">
        <f>IF((MAX('2_evaluate_surveys'!$D11:$AE11)-MIN('2_evaluate_surveys'!$D11:$AE11))=0,0,(('2_evaluate_surveys'!M11-MIN('2_evaluate_surveys'!$D11:$AE11))/(MAX('2_evaluate_surveys'!$D11:$AE11)-MIN('2_evaluate_surveys'!$D11:$AE11))))</f>
        <v>1</v>
      </c>
      <c r="N8" s="72">
        <f>IF((MAX('2_evaluate_surveys'!$D11:$AE11)-MIN('2_evaluate_surveys'!$D11:$AE11))=0,0,(('2_evaluate_surveys'!N11-MIN('2_evaluate_surveys'!$D11:$AE11))/(MAX('2_evaluate_surveys'!$D11:$AE11)-MIN('2_evaluate_surveys'!$D11:$AE11))))</f>
        <v>1</v>
      </c>
      <c r="O8" s="72">
        <f>IF((MAX('2_evaluate_surveys'!$D11:$AE11)-MIN('2_evaluate_surveys'!$D11:$AE11))=0,0,(('2_evaluate_surveys'!O11-MIN('2_evaluate_surveys'!$D11:$AE11))/(MAX('2_evaluate_surveys'!$D11:$AE11)-MIN('2_evaluate_surveys'!$D11:$AE11))))</f>
        <v>1</v>
      </c>
      <c r="P8" s="72">
        <f>IF((MAX('2_evaluate_surveys'!$D11:$AE11)-MIN('2_evaluate_surveys'!$D11:$AE11))=0,0,(('2_evaluate_surveys'!P11-MIN('2_evaluate_surveys'!$D11:$AE11))/(MAX('2_evaluate_surveys'!$D11:$AE11)-MIN('2_evaluate_surveys'!$D11:$AE11))))</f>
        <v>1</v>
      </c>
      <c r="Q8" s="72">
        <f>IF((MAX('2_evaluate_surveys'!$D11:$AE11)-MIN('2_evaluate_surveys'!$D11:$AE11))=0,0,(('2_evaluate_surveys'!Q11-MIN('2_evaluate_surveys'!$D11:$AE11))/(MAX('2_evaluate_surveys'!$D11:$AE11)-MIN('2_evaluate_surveys'!$D11:$AE11))))</f>
        <v>1</v>
      </c>
      <c r="R8" s="72">
        <f>IF((MAX('2_evaluate_surveys'!$D11:$AE11)-MIN('2_evaluate_surveys'!$D11:$AE11))=0,0,(('2_evaluate_surveys'!R11-MIN('2_evaluate_surveys'!$D11:$AE11))/(MAX('2_evaluate_surveys'!$D11:$AE11)-MIN('2_evaluate_surveys'!$D11:$AE11))))</f>
        <v>1</v>
      </c>
      <c r="S8" s="72">
        <f>IF((MAX('2_evaluate_surveys'!$D11:$AE11)-MIN('2_evaluate_surveys'!$D11:$AE11))=0,0,(('2_evaluate_surveys'!S11-MIN('2_evaluate_surveys'!$D11:$AE11))/(MAX('2_evaluate_surveys'!$D11:$AE11)-MIN('2_evaluate_surveys'!$D11:$AE11))))</f>
        <v>1</v>
      </c>
      <c r="T8" s="72">
        <f>IF((MAX('2_evaluate_surveys'!$D11:$AE11)-MIN('2_evaluate_surveys'!$D11:$AE11))=0,0,(('2_evaluate_surveys'!T11-MIN('2_evaluate_surveys'!$D11:$AE11))/(MAX('2_evaluate_surveys'!$D11:$AE11)-MIN('2_evaluate_surveys'!$D11:$AE11))))</f>
        <v>0</v>
      </c>
      <c r="U8" s="72">
        <f>IF((MAX('2_evaluate_surveys'!$D11:$AE11)-MIN('2_evaluate_surveys'!$D11:$AE11))=0,0,(('2_evaluate_surveys'!U11-MIN('2_evaluate_surveys'!$D11:$AE11))/(MAX('2_evaluate_surveys'!$D11:$AE11)-MIN('2_evaluate_surveys'!$D11:$AE11))))</f>
        <v>1</v>
      </c>
      <c r="V8" s="72">
        <f>IF((MAX('2_evaluate_surveys'!$D11:$AE11)-MIN('2_evaluate_surveys'!$D11:$AE11))=0,0,(('2_evaluate_surveys'!V11-MIN('2_evaluate_surveys'!$D11:$AE11))/(MAX('2_evaluate_surveys'!$D11:$AE11)-MIN('2_evaluate_surveys'!$D11:$AE11))))</f>
        <v>1</v>
      </c>
      <c r="W8" s="72">
        <f>IF((MAX('2_evaluate_surveys'!$D11:$AE11)-MIN('2_evaluate_surveys'!$D11:$AE11))=0,0,(('2_evaluate_surveys'!W11-MIN('2_evaluate_surveys'!$D11:$AE11))/(MAX('2_evaluate_surveys'!$D11:$AE11)-MIN('2_evaluate_surveys'!$D11:$AE11))))</f>
        <v>1</v>
      </c>
      <c r="X8" s="72">
        <f>IF((MAX('2_evaluate_surveys'!$D11:$AE11)-MIN('2_evaluate_surveys'!$D11:$AE11))=0,0,(('2_evaluate_surveys'!X11-MIN('2_evaluate_surveys'!$D11:$AE11))/(MAX('2_evaluate_surveys'!$D11:$AE11)-MIN('2_evaluate_surveys'!$D11:$AE11))))</f>
        <v>0</v>
      </c>
      <c r="Y8" s="72">
        <f>IF((MAX('2_evaluate_surveys'!$D11:$AE11)-MIN('2_evaluate_surveys'!$D11:$AE11))=0,0,(('2_evaluate_surveys'!Y11-MIN('2_evaluate_surveys'!$D11:$AE11))/(MAX('2_evaluate_surveys'!$D11:$AE11)-MIN('2_evaluate_surveys'!$D11:$AE11))))</f>
        <v>0</v>
      </c>
      <c r="Z8" s="72">
        <f>IF((MAX('2_evaluate_surveys'!$D11:$AE11)-MIN('2_evaluate_surveys'!$D11:$AE11))=0,0,(('2_evaluate_surveys'!Z11-MIN('2_evaluate_surveys'!$D11:$AE11))/(MAX('2_evaluate_surveys'!$D11:$AE11)-MIN('2_evaluate_surveys'!$D11:$AE11))))</f>
        <v>0</v>
      </c>
      <c r="AA8" s="72">
        <f>IF((MAX('2_evaluate_surveys'!$D11:$AE11)-MIN('2_evaluate_surveys'!$D11:$AE11))=0,0,(('2_evaluate_surveys'!AA11-MIN('2_evaluate_surveys'!$D11:$AE11))/(MAX('2_evaluate_surveys'!$D11:$AE11)-MIN('2_evaluate_surveys'!$D11:$AE11))))</f>
        <v>0</v>
      </c>
      <c r="AB8" s="72">
        <f>IF((MAX('2_evaluate_surveys'!$D11:$AE11)-MIN('2_evaluate_surveys'!$D11:$AE11))=0,0,(('2_evaluate_surveys'!AB11-MIN('2_evaluate_surveys'!$D11:$AE11))/(MAX('2_evaluate_surveys'!$D11:$AE11)-MIN('2_evaluate_surveys'!$D11:$AE11))))</f>
        <v>1</v>
      </c>
      <c r="AC8" s="72">
        <f>IF((MAX('2_evaluate_surveys'!$D11:$AE11)-MIN('2_evaluate_surveys'!$D11:$AE11))=0,0,(('2_evaluate_surveys'!AC11-MIN('2_evaluate_surveys'!$D11:$AE11))/(MAX('2_evaluate_surveys'!$D11:$AE11)-MIN('2_evaluate_surveys'!$D11:$AE11))))</f>
        <v>1</v>
      </c>
      <c r="AD8" s="72">
        <f>IF((MAX('2_evaluate_surveys'!$D11:$AE11)-MIN('2_evaluate_surveys'!$D11:$AE11))=0,0,(('2_evaluate_surveys'!AD11-MIN('2_evaluate_surveys'!$D11:$AE11))/(MAX('2_evaluate_surveys'!$D11:$AE11)-MIN('2_evaluate_surveys'!$D11:$AE11))))</f>
        <v>1</v>
      </c>
      <c r="AE8" s="72">
        <f>IF((MAX('2_evaluate_surveys'!$D11:$AE11)-MIN('2_evaluate_surveys'!$D11:$AE11))=0,0,(('2_evaluate_surveys'!AE11-MIN('2_evaluate_surveys'!$D11:$AE11))/(MAX('2_evaluate_surveys'!$D11:$AE11)-MIN('2_evaluate_surveys'!$D11:$AE11))))</f>
        <v>1</v>
      </c>
      <c r="AF8" s="72">
        <f>IF((MAX('2_evaluate_surveys'!$D11:$AE11)-MIN('2_evaluate_surveys'!$D11:$AE11))=0,0,(('2_evaluate_surveys'!AF11-MIN('2_evaluate_surveys'!$D11:$AE11))/(MAX('2_evaluate_surveys'!$D11:$AE11)-MIN('2_evaluate_surveys'!$D11:$AE11))))</f>
        <v>1</v>
      </c>
      <c r="AG8" s="72">
        <f>IF((MAX('2_evaluate_surveys'!$D11:$AE11)-MIN('2_evaluate_surveys'!$D11:$AE11))=0,0,(('2_evaluate_surveys'!AG11-MIN('2_evaluate_surveys'!$D11:$AE11))/(MAX('2_evaluate_surveys'!$D11:$AE11)-MIN('2_evaluate_surveys'!$D11:$AE11))))</f>
        <v>0</v>
      </c>
      <c r="AH8" s="72">
        <f>IF((MAX('2_evaluate_surveys'!$D11:$AE11)-MIN('2_evaluate_surveys'!$D11:$AE11))=0,0,(('2_evaluate_surveys'!AH11-MIN('2_evaluate_surveys'!$D11:$AE11))/(MAX('2_evaluate_surveys'!$D11:$AE11)-MIN('2_evaluate_surveys'!$D11:$AE11))))</f>
        <v>0</v>
      </c>
    </row>
    <row r="9" spans="1:34" x14ac:dyDescent="0.35">
      <c r="A9" s="139">
        <v>4</v>
      </c>
      <c r="B9" s="137" t="s">
        <v>26</v>
      </c>
      <c r="C9" s="141" t="s">
        <v>97</v>
      </c>
      <c r="D9" s="142">
        <f>IF((MAX('2_evaluate_surveys'!$D12:$AE12)-MIN('2_evaluate_surveys'!$D12:$AE12))=0,0,(('2_evaluate_surveys'!D12-MIN('2_evaluate_surveys'!$D12:$AE12))/(MAX('2_evaluate_surveys'!$D12:$AE12)-MIN('2_evaluate_surveys'!$D12:$AE12))))</f>
        <v>0</v>
      </c>
      <c r="E9" s="142">
        <f>IF((MAX('2_evaluate_surveys'!$D12:$AE12)-MIN('2_evaluate_surveys'!$D12:$AE12))=0,0,(('2_evaluate_surveys'!E12-MIN('2_evaluate_surveys'!$D12:$AE12))/(MAX('2_evaluate_surveys'!$D12:$AE12)-MIN('2_evaluate_surveys'!$D12:$AE12))))</f>
        <v>0</v>
      </c>
      <c r="F9" s="147">
        <f>IF((MAX('2_evaluate_surveys'!$D12:$AE12)-MIN('2_evaluate_surveys'!$D12:$AE12))=0,0,(('2_evaluate_surveys'!F12-MIN('2_evaluate_surveys'!$D12:$AE12))/(MAX('2_evaluate_surveys'!$D12:$AE12)-MIN('2_evaluate_surveys'!$D12:$AE12))))</f>
        <v>0</v>
      </c>
      <c r="G9" s="72">
        <f>IF((MAX('2_evaluate_surveys'!$D12:$AE12)-MIN('2_evaluate_surveys'!$D12:$AE12))=0,0,(('2_evaluate_surveys'!G12-MIN('2_evaluate_surveys'!$D12:$AE12))/(MAX('2_evaluate_surveys'!$D12:$AE12)-MIN('2_evaluate_surveys'!$D12:$AE12))))</f>
        <v>0</v>
      </c>
      <c r="H9" s="72">
        <f>IF((MAX('2_evaluate_surveys'!$D12:$AE12)-MIN('2_evaluate_surveys'!$D12:$AE12))=0,0,(('2_evaluate_surveys'!H12-MIN('2_evaluate_surveys'!$D12:$AE12))/(MAX('2_evaluate_surveys'!$D12:$AE12)-MIN('2_evaluate_surveys'!$D12:$AE12))))</f>
        <v>0</v>
      </c>
      <c r="I9" s="72">
        <f>IF((MAX('2_evaluate_surveys'!$D12:$AE12)-MIN('2_evaluate_surveys'!$D12:$AE12))=0,0,(('2_evaluate_surveys'!I12-MIN('2_evaluate_surveys'!$D12:$AE12))/(MAX('2_evaluate_surveys'!$D12:$AE12)-MIN('2_evaluate_surveys'!$D12:$AE12))))</f>
        <v>0</v>
      </c>
      <c r="J9" s="72">
        <f>IF((MAX('2_evaluate_surveys'!$D12:$AE12)-MIN('2_evaluate_surveys'!$D12:$AE12))=0,0,(('2_evaluate_surveys'!J12-MIN('2_evaluate_surveys'!$D12:$AE12))/(MAX('2_evaluate_surveys'!$D12:$AE12)-MIN('2_evaluate_surveys'!$D12:$AE12))))</f>
        <v>0</v>
      </c>
      <c r="K9" s="72">
        <f>IF((MAX('2_evaluate_surveys'!$D12:$AE12)-MIN('2_evaluate_surveys'!$D12:$AE12))=0,0,(('2_evaluate_surveys'!K12-MIN('2_evaluate_surveys'!$D12:$AE12))/(MAX('2_evaluate_surveys'!$D12:$AE12)-MIN('2_evaluate_surveys'!$D12:$AE12))))</f>
        <v>0</v>
      </c>
      <c r="L9" s="72">
        <f>IF((MAX('2_evaluate_surveys'!$D12:$AE12)-MIN('2_evaluate_surveys'!$D12:$AE12))=0,0,(('2_evaluate_surveys'!L12-MIN('2_evaluate_surveys'!$D12:$AE12))/(MAX('2_evaluate_surveys'!$D12:$AE12)-MIN('2_evaluate_surveys'!$D12:$AE12))))</f>
        <v>0</v>
      </c>
      <c r="M9" s="72">
        <f>IF((MAX('2_evaluate_surveys'!$D12:$AE12)-MIN('2_evaluate_surveys'!$D12:$AE12))=0,0,(('2_evaluate_surveys'!M12-MIN('2_evaluate_surveys'!$D12:$AE12))/(MAX('2_evaluate_surveys'!$D12:$AE12)-MIN('2_evaluate_surveys'!$D12:$AE12))))</f>
        <v>0</v>
      </c>
      <c r="N9" s="72">
        <f>IF((MAX('2_evaluate_surveys'!$D12:$AE12)-MIN('2_evaluate_surveys'!$D12:$AE12))=0,0,(('2_evaluate_surveys'!N12-MIN('2_evaluate_surveys'!$D12:$AE12))/(MAX('2_evaluate_surveys'!$D12:$AE12)-MIN('2_evaluate_surveys'!$D12:$AE12))))</f>
        <v>0</v>
      </c>
      <c r="O9" s="72">
        <f>IF((MAX('2_evaluate_surveys'!$D12:$AE12)-MIN('2_evaluate_surveys'!$D12:$AE12))=0,0,(('2_evaluate_surveys'!O12-MIN('2_evaluate_surveys'!$D12:$AE12))/(MAX('2_evaluate_surveys'!$D12:$AE12)-MIN('2_evaluate_surveys'!$D12:$AE12))))</f>
        <v>0</v>
      </c>
      <c r="P9" s="72">
        <f>IF((MAX('2_evaluate_surveys'!$D12:$AE12)-MIN('2_evaluate_surveys'!$D12:$AE12))=0,0,(('2_evaluate_surveys'!P12-MIN('2_evaluate_surveys'!$D12:$AE12))/(MAX('2_evaluate_surveys'!$D12:$AE12)-MIN('2_evaluate_surveys'!$D12:$AE12))))</f>
        <v>0</v>
      </c>
      <c r="Q9" s="72">
        <f>IF((MAX('2_evaluate_surveys'!$D12:$AE12)-MIN('2_evaluate_surveys'!$D12:$AE12))=0,0,(('2_evaluate_surveys'!Q12-MIN('2_evaluate_surveys'!$D12:$AE12))/(MAX('2_evaluate_surveys'!$D12:$AE12)-MIN('2_evaluate_surveys'!$D12:$AE12))))</f>
        <v>0</v>
      </c>
      <c r="R9" s="72">
        <f>IF((MAX('2_evaluate_surveys'!$D12:$AE12)-MIN('2_evaluate_surveys'!$D12:$AE12))=0,0,(('2_evaluate_surveys'!R12-MIN('2_evaluate_surveys'!$D12:$AE12))/(MAX('2_evaluate_surveys'!$D12:$AE12)-MIN('2_evaluate_surveys'!$D12:$AE12))))</f>
        <v>0</v>
      </c>
      <c r="S9" s="72">
        <f>IF((MAX('2_evaluate_surveys'!$D12:$AE12)-MIN('2_evaluate_surveys'!$D12:$AE12))=0,0,(('2_evaluate_surveys'!S12-MIN('2_evaluate_surveys'!$D12:$AE12))/(MAX('2_evaluate_surveys'!$D12:$AE12)-MIN('2_evaluate_surveys'!$D12:$AE12))))</f>
        <v>1</v>
      </c>
      <c r="T9" s="72">
        <f>IF((MAX('2_evaluate_surveys'!$D12:$AE12)-MIN('2_evaluate_surveys'!$D12:$AE12))=0,0,(('2_evaluate_surveys'!T12-MIN('2_evaluate_surveys'!$D12:$AE12))/(MAX('2_evaluate_surveys'!$D12:$AE12)-MIN('2_evaluate_surveys'!$D12:$AE12))))</f>
        <v>0</v>
      </c>
      <c r="U9" s="72">
        <f>IF((MAX('2_evaluate_surveys'!$D12:$AE12)-MIN('2_evaluate_surveys'!$D12:$AE12))=0,0,(('2_evaluate_surveys'!U12-MIN('2_evaluate_surveys'!$D12:$AE12))/(MAX('2_evaluate_surveys'!$D12:$AE12)-MIN('2_evaluate_surveys'!$D12:$AE12))))</f>
        <v>0</v>
      </c>
      <c r="V9" s="72">
        <f>IF((MAX('2_evaluate_surveys'!$D12:$AE12)-MIN('2_evaluate_surveys'!$D12:$AE12))=0,0,(('2_evaluate_surveys'!V12-MIN('2_evaluate_surveys'!$D12:$AE12))/(MAX('2_evaluate_surveys'!$D12:$AE12)-MIN('2_evaluate_surveys'!$D12:$AE12))))</f>
        <v>0</v>
      </c>
      <c r="W9" s="72">
        <f>IF((MAX('2_evaluate_surveys'!$D12:$AE12)-MIN('2_evaluate_surveys'!$D12:$AE12))=0,0,(('2_evaluate_surveys'!W12-MIN('2_evaluate_surveys'!$D12:$AE12))/(MAX('2_evaluate_surveys'!$D12:$AE12)-MIN('2_evaluate_surveys'!$D12:$AE12))))</f>
        <v>0</v>
      </c>
      <c r="X9" s="72">
        <f>IF((MAX('2_evaluate_surveys'!$D12:$AE12)-MIN('2_evaluate_surveys'!$D12:$AE12))=0,0,(('2_evaluate_surveys'!X12-MIN('2_evaluate_surveys'!$D12:$AE12))/(MAX('2_evaluate_surveys'!$D12:$AE12)-MIN('2_evaluate_surveys'!$D12:$AE12))))</f>
        <v>0</v>
      </c>
      <c r="Y9" s="72">
        <f>IF((MAX('2_evaluate_surveys'!$D12:$AE12)-MIN('2_evaluate_surveys'!$D12:$AE12))=0,0,(('2_evaluate_surveys'!Y12-MIN('2_evaluate_surveys'!$D12:$AE12))/(MAX('2_evaluate_surveys'!$D12:$AE12)-MIN('2_evaluate_surveys'!$D12:$AE12))))</f>
        <v>0</v>
      </c>
      <c r="Z9" s="72">
        <f>IF((MAX('2_evaluate_surveys'!$D12:$AE12)-MIN('2_evaluate_surveys'!$D12:$AE12))=0,0,(('2_evaluate_surveys'!Z12-MIN('2_evaluate_surveys'!$D12:$AE12))/(MAX('2_evaluate_surveys'!$D12:$AE12)-MIN('2_evaluate_surveys'!$D12:$AE12))))</f>
        <v>0</v>
      </c>
      <c r="AA9" s="72">
        <f>IF((MAX('2_evaluate_surveys'!$D12:$AE12)-MIN('2_evaluate_surveys'!$D12:$AE12))=0,0,(('2_evaluate_surveys'!AA12-MIN('2_evaluate_surveys'!$D12:$AE12))/(MAX('2_evaluate_surveys'!$D12:$AE12)-MIN('2_evaluate_surveys'!$D12:$AE12))))</f>
        <v>0</v>
      </c>
      <c r="AB9" s="72">
        <f>IF((MAX('2_evaluate_surveys'!$D12:$AE12)-MIN('2_evaluate_surveys'!$D12:$AE12))=0,0,(('2_evaluate_surveys'!AB12-MIN('2_evaluate_surveys'!$D12:$AE12))/(MAX('2_evaluate_surveys'!$D12:$AE12)-MIN('2_evaluate_surveys'!$D12:$AE12))))</f>
        <v>0</v>
      </c>
      <c r="AC9" s="72">
        <f>IF((MAX('2_evaluate_surveys'!$D12:$AE12)-MIN('2_evaluate_surveys'!$D12:$AE12))=0,0,(('2_evaluate_surveys'!AC12-MIN('2_evaluate_surveys'!$D12:$AE12))/(MAX('2_evaluate_surveys'!$D12:$AE12)-MIN('2_evaluate_surveys'!$D12:$AE12))))</f>
        <v>1</v>
      </c>
      <c r="AD9" s="72">
        <f>IF((MAX('2_evaluate_surveys'!$D12:$AE12)-MIN('2_evaluate_surveys'!$D12:$AE12))=0,0,(('2_evaluate_surveys'!AD12-MIN('2_evaluate_surveys'!$D12:$AE12))/(MAX('2_evaluate_surveys'!$D12:$AE12)-MIN('2_evaluate_surveys'!$D12:$AE12))))</f>
        <v>0</v>
      </c>
      <c r="AE9" s="72">
        <f>IF((MAX('2_evaluate_surveys'!$D12:$AE12)-MIN('2_evaluate_surveys'!$D12:$AE12))=0,0,(('2_evaluate_surveys'!AE12-MIN('2_evaluate_surveys'!$D12:$AE12))/(MAX('2_evaluate_surveys'!$D12:$AE12)-MIN('2_evaluate_surveys'!$D12:$AE12))))</f>
        <v>0</v>
      </c>
      <c r="AF9" s="72">
        <f>IF((MAX('2_evaluate_surveys'!$D12:$AE12)-MIN('2_evaluate_surveys'!$D12:$AE12))=0,0,(('2_evaluate_surveys'!AF12-MIN('2_evaluate_surveys'!$D12:$AE12))/(MAX('2_evaluate_surveys'!$D12:$AE12)-MIN('2_evaluate_surveys'!$D12:$AE12))))</f>
        <v>1</v>
      </c>
      <c r="AG9" s="72">
        <f>IF((MAX('2_evaluate_surveys'!$D12:$AE12)-MIN('2_evaluate_surveys'!$D12:$AE12))=0,0,(('2_evaluate_surveys'!AG12-MIN('2_evaluate_surveys'!$D12:$AE12))/(MAX('2_evaluate_surveys'!$D12:$AE12)-MIN('2_evaluate_surveys'!$D12:$AE12))))</f>
        <v>0</v>
      </c>
      <c r="AH9" s="72">
        <f>IF((MAX('2_evaluate_surveys'!$D12:$AE12)-MIN('2_evaluate_surveys'!$D12:$AE12))=0,0,(('2_evaluate_surveys'!AH12-MIN('2_evaluate_surveys'!$D12:$AE12))/(MAX('2_evaluate_surveys'!$D12:$AE12)-MIN('2_evaluate_surveys'!$D12:$AE12))))</f>
        <v>0</v>
      </c>
    </row>
    <row r="10" spans="1:34" x14ac:dyDescent="0.35">
      <c r="A10" s="139">
        <v>5</v>
      </c>
      <c r="B10" s="137" t="s">
        <v>27</v>
      </c>
      <c r="C10" s="141" t="s">
        <v>97</v>
      </c>
      <c r="D10" s="142">
        <f>IF((MAX('2_evaluate_surveys'!$D13:$AE13)-MIN('2_evaluate_surveys'!$D13:$AE13))=0,0,(('2_evaluate_surveys'!D13-MIN('2_evaluate_surveys'!$D13:$AE13))/(MAX('2_evaluate_surveys'!$D13:$AE13)-MIN('2_evaluate_surveys'!$D13:$AE13))))</f>
        <v>0</v>
      </c>
      <c r="E10" s="142">
        <f>IF((MAX('2_evaluate_surveys'!$D13:$AE13)-MIN('2_evaluate_surveys'!$D13:$AE13))=0,0,(('2_evaluate_surveys'!E13-MIN('2_evaluate_surveys'!$D13:$AE13))/(MAX('2_evaluate_surveys'!$D13:$AE13)-MIN('2_evaluate_surveys'!$D13:$AE13))))</f>
        <v>0</v>
      </c>
      <c r="F10" s="147">
        <f>IF((MAX('2_evaluate_surveys'!$D13:$AE13)-MIN('2_evaluate_surveys'!$D13:$AE13))=0,0,(('2_evaluate_surveys'!F13-MIN('2_evaluate_surveys'!$D13:$AE13))/(MAX('2_evaluate_surveys'!$D13:$AE13)-MIN('2_evaluate_surveys'!$D13:$AE13))))</f>
        <v>0</v>
      </c>
      <c r="G10" s="72">
        <f>IF((MAX('2_evaluate_surveys'!$D13:$AE13)-MIN('2_evaluate_surveys'!$D13:$AE13))=0,0,(('2_evaluate_surveys'!G13-MIN('2_evaluate_surveys'!$D13:$AE13))/(MAX('2_evaluate_surveys'!$D13:$AE13)-MIN('2_evaluate_surveys'!$D13:$AE13))))</f>
        <v>0</v>
      </c>
      <c r="H10" s="72">
        <f>IF((MAX('2_evaluate_surveys'!$D13:$AE13)-MIN('2_evaluate_surveys'!$D13:$AE13))=0,0,(('2_evaluate_surveys'!H13-MIN('2_evaluate_surveys'!$D13:$AE13))/(MAX('2_evaluate_surveys'!$D13:$AE13)-MIN('2_evaluate_surveys'!$D13:$AE13))))</f>
        <v>0</v>
      </c>
      <c r="I10" s="72">
        <f>IF((MAX('2_evaluate_surveys'!$D13:$AE13)-MIN('2_evaluate_surveys'!$D13:$AE13))=0,0,(('2_evaluate_surveys'!I13-MIN('2_evaluate_surveys'!$D13:$AE13))/(MAX('2_evaluate_surveys'!$D13:$AE13)-MIN('2_evaluate_surveys'!$D13:$AE13))))</f>
        <v>0</v>
      </c>
      <c r="J10" s="72">
        <f>IF((MAX('2_evaluate_surveys'!$D13:$AE13)-MIN('2_evaluate_surveys'!$D13:$AE13))=0,0,(('2_evaluate_surveys'!J13-MIN('2_evaluate_surveys'!$D13:$AE13))/(MAX('2_evaluate_surveys'!$D13:$AE13)-MIN('2_evaluate_surveys'!$D13:$AE13))))</f>
        <v>0</v>
      </c>
      <c r="K10" s="72">
        <f>IF((MAX('2_evaluate_surveys'!$D13:$AE13)-MIN('2_evaluate_surveys'!$D13:$AE13))=0,0,(('2_evaluate_surveys'!K13-MIN('2_evaluate_surveys'!$D13:$AE13))/(MAX('2_evaluate_surveys'!$D13:$AE13)-MIN('2_evaluate_surveys'!$D13:$AE13))))</f>
        <v>0</v>
      </c>
      <c r="L10" s="72">
        <f>IF((MAX('2_evaluate_surveys'!$D13:$AE13)-MIN('2_evaluate_surveys'!$D13:$AE13))=0,0,(('2_evaluate_surveys'!L13-MIN('2_evaluate_surveys'!$D13:$AE13))/(MAX('2_evaluate_surveys'!$D13:$AE13)-MIN('2_evaluate_surveys'!$D13:$AE13))))</f>
        <v>0</v>
      </c>
      <c r="M10" s="72">
        <f>IF((MAX('2_evaluate_surveys'!$D13:$AE13)-MIN('2_evaluate_surveys'!$D13:$AE13))=0,0,(('2_evaluate_surveys'!M13-MIN('2_evaluate_surveys'!$D13:$AE13))/(MAX('2_evaluate_surveys'!$D13:$AE13)-MIN('2_evaluate_surveys'!$D13:$AE13))))</f>
        <v>1</v>
      </c>
      <c r="N10" s="72">
        <f>IF((MAX('2_evaluate_surveys'!$D13:$AE13)-MIN('2_evaluate_surveys'!$D13:$AE13))=0,0,(('2_evaluate_surveys'!N13-MIN('2_evaluate_surveys'!$D13:$AE13))/(MAX('2_evaluate_surveys'!$D13:$AE13)-MIN('2_evaluate_surveys'!$D13:$AE13))))</f>
        <v>0.33333333333333331</v>
      </c>
      <c r="O10" s="72">
        <f>IF((MAX('2_evaluate_surveys'!$D13:$AE13)-MIN('2_evaluate_surveys'!$D13:$AE13))=0,0,(('2_evaluate_surveys'!O13-MIN('2_evaluate_surveys'!$D13:$AE13))/(MAX('2_evaluate_surveys'!$D13:$AE13)-MIN('2_evaluate_surveys'!$D13:$AE13))))</f>
        <v>0</v>
      </c>
      <c r="P10" s="72">
        <f>IF((MAX('2_evaluate_surveys'!$D13:$AE13)-MIN('2_evaluate_surveys'!$D13:$AE13))=0,0,(('2_evaluate_surveys'!P13-MIN('2_evaluate_surveys'!$D13:$AE13))/(MAX('2_evaluate_surveys'!$D13:$AE13)-MIN('2_evaluate_surveys'!$D13:$AE13))))</f>
        <v>0.33333333333333331</v>
      </c>
      <c r="Q10" s="72">
        <f>IF((MAX('2_evaluate_surveys'!$D13:$AE13)-MIN('2_evaluate_surveys'!$D13:$AE13))=0,0,(('2_evaluate_surveys'!Q13-MIN('2_evaluate_surveys'!$D13:$AE13))/(MAX('2_evaluate_surveys'!$D13:$AE13)-MIN('2_evaluate_surveys'!$D13:$AE13))))</f>
        <v>1</v>
      </c>
      <c r="R10" s="72">
        <f>IF((MAX('2_evaluate_surveys'!$D13:$AE13)-MIN('2_evaluate_surveys'!$D13:$AE13))=0,0,(('2_evaluate_surveys'!R13-MIN('2_evaluate_surveys'!$D13:$AE13))/(MAX('2_evaluate_surveys'!$D13:$AE13)-MIN('2_evaluate_surveys'!$D13:$AE13))))</f>
        <v>1</v>
      </c>
      <c r="S10" s="72">
        <f>IF((MAX('2_evaluate_surveys'!$D13:$AE13)-MIN('2_evaluate_surveys'!$D13:$AE13))=0,0,(('2_evaluate_surveys'!S13-MIN('2_evaluate_surveys'!$D13:$AE13))/(MAX('2_evaluate_surveys'!$D13:$AE13)-MIN('2_evaluate_surveys'!$D13:$AE13))))</f>
        <v>1</v>
      </c>
      <c r="T10" s="72">
        <f>IF((MAX('2_evaluate_surveys'!$D13:$AE13)-MIN('2_evaluate_surveys'!$D13:$AE13))=0,0,(('2_evaluate_surveys'!T13-MIN('2_evaluate_surveys'!$D13:$AE13))/(MAX('2_evaluate_surveys'!$D13:$AE13)-MIN('2_evaluate_surveys'!$D13:$AE13))))</f>
        <v>0</v>
      </c>
      <c r="U10" s="72">
        <f>IF((MAX('2_evaluate_surveys'!$D13:$AE13)-MIN('2_evaluate_surveys'!$D13:$AE13))=0,0,(('2_evaluate_surveys'!U13-MIN('2_evaluate_surveys'!$D13:$AE13))/(MAX('2_evaluate_surveys'!$D13:$AE13)-MIN('2_evaluate_surveys'!$D13:$AE13))))</f>
        <v>0</v>
      </c>
      <c r="V10" s="72">
        <f>IF((MAX('2_evaluate_surveys'!$D13:$AE13)-MIN('2_evaluate_surveys'!$D13:$AE13))=0,0,(('2_evaluate_surveys'!V13-MIN('2_evaluate_surveys'!$D13:$AE13))/(MAX('2_evaluate_surveys'!$D13:$AE13)-MIN('2_evaluate_surveys'!$D13:$AE13))))</f>
        <v>0</v>
      </c>
      <c r="W10" s="72">
        <f>IF((MAX('2_evaluate_surveys'!$D13:$AE13)-MIN('2_evaluate_surveys'!$D13:$AE13))=0,0,(('2_evaluate_surveys'!W13-MIN('2_evaluate_surveys'!$D13:$AE13))/(MAX('2_evaluate_surveys'!$D13:$AE13)-MIN('2_evaluate_surveys'!$D13:$AE13))))</f>
        <v>0.33333333333333331</v>
      </c>
      <c r="X10" s="72">
        <f>IF((MAX('2_evaluate_surveys'!$D13:$AE13)-MIN('2_evaluate_surveys'!$D13:$AE13))=0,0,(('2_evaluate_surveys'!X13-MIN('2_evaluate_surveys'!$D13:$AE13))/(MAX('2_evaluate_surveys'!$D13:$AE13)-MIN('2_evaluate_surveys'!$D13:$AE13))))</f>
        <v>0</v>
      </c>
      <c r="Y10" s="72">
        <f>IF((MAX('2_evaluate_surveys'!$D13:$AE13)-MIN('2_evaluate_surveys'!$D13:$AE13))=0,0,(('2_evaluate_surveys'!Y13-MIN('2_evaluate_surveys'!$D13:$AE13))/(MAX('2_evaluate_surveys'!$D13:$AE13)-MIN('2_evaluate_surveys'!$D13:$AE13))))</f>
        <v>0</v>
      </c>
      <c r="Z10" s="72">
        <f>IF((MAX('2_evaluate_surveys'!$D13:$AE13)-MIN('2_evaluate_surveys'!$D13:$AE13))=0,0,(('2_evaluate_surveys'!Z13-MIN('2_evaluate_surveys'!$D13:$AE13))/(MAX('2_evaluate_surveys'!$D13:$AE13)-MIN('2_evaluate_surveys'!$D13:$AE13))))</f>
        <v>0</v>
      </c>
      <c r="AA10" s="72">
        <f>IF((MAX('2_evaluate_surveys'!$D13:$AE13)-MIN('2_evaluate_surveys'!$D13:$AE13))=0,0,(('2_evaluate_surveys'!AA13-MIN('2_evaluate_surveys'!$D13:$AE13))/(MAX('2_evaluate_surveys'!$D13:$AE13)-MIN('2_evaluate_surveys'!$D13:$AE13))))</f>
        <v>0</v>
      </c>
      <c r="AB10" s="72">
        <f>IF((MAX('2_evaluate_surveys'!$D13:$AE13)-MIN('2_evaluate_surveys'!$D13:$AE13))=0,0,(('2_evaluate_surveys'!AB13-MIN('2_evaluate_surveys'!$D13:$AE13))/(MAX('2_evaluate_surveys'!$D13:$AE13)-MIN('2_evaluate_surveys'!$D13:$AE13))))</f>
        <v>0.33333333333333331</v>
      </c>
      <c r="AC10" s="72">
        <f>IF((MAX('2_evaluate_surveys'!$D13:$AE13)-MIN('2_evaluate_surveys'!$D13:$AE13))=0,0,(('2_evaluate_surveys'!AC13-MIN('2_evaluate_surveys'!$D13:$AE13))/(MAX('2_evaluate_surveys'!$D13:$AE13)-MIN('2_evaluate_surveys'!$D13:$AE13))))</f>
        <v>0.33333333333333331</v>
      </c>
      <c r="AD10" s="72">
        <f>IF((MAX('2_evaluate_surveys'!$D13:$AE13)-MIN('2_evaluate_surveys'!$D13:$AE13))=0,0,(('2_evaluate_surveys'!AD13-MIN('2_evaluate_surveys'!$D13:$AE13))/(MAX('2_evaluate_surveys'!$D13:$AE13)-MIN('2_evaluate_surveys'!$D13:$AE13))))</f>
        <v>0.33333333333333331</v>
      </c>
      <c r="AE10" s="72">
        <f>IF((MAX('2_evaluate_surveys'!$D13:$AE13)-MIN('2_evaluate_surveys'!$D13:$AE13))=0,0,(('2_evaluate_surveys'!AE13-MIN('2_evaluate_surveys'!$D13:$AE13))/(MAX('2_evaluate_surveys'!$D13:$AE13)-MIN('2_evaluate_surveys'!$D13:$AE13))))</f>
        <v>0.33333333333333331</v>
      </c>
      <c r="AF10" s="72">
        <f>IF((MAX('2_evaluate_surveys'!$D13:$AE13)-MIN('2_evaluate_surveys'!$D13:$AE13))=0,0,(('2_evaluate_surveys'!AF13-MIN('2_evaluate_surveys'!$D13:$AE13))/(MAX('2_evaluate_surveys'!$D13:$AE13)-MIN('2_evaluate_surveys'!$D13:$AE13))))</f>
        <v>1</v>
      </c>
      <c r="AG10" s="72">
        <f>IF((MAX('2_evaluate_surveys'!$D13:$AE13)-MIN('2_evaluate_surveys'!$D13:$AE13))=0,0,(('2_evaluate_surveys'!AG13-MIN('2_evaluate_surveys'!$D13:$AE13))/(MAX('2_evaluate_surveys'!$D13:$AE13)-MIN('2_evaluate_surveys'!$D13:$AE13))))</f>
        <v>0</v>
      </c>
      <c r="AH10" s="72">
        <f>IF((MAX('2_evaluate_surveys'!$D13:$AE13)-MIN('2_evaluate_surveys'!$D13:$AE13))=0,0,(('2_evaluate_surveys'!AH13-MIN('2_evaluate_surveys'!$D13:$AE13))/(MAX('2_evaluate_surveys'!$D13:$AE13)-MIN('2_evaluate_surveys'!$D13:$AE13))))</f>
        <v>0</v>
      </c>
    </row>
    <row r="11" spans="1:34" s="72" customFormat="1" x14ac:dyDescent="0.35">
      <c r="A11" s="139">
        <v>6</v>
      </c>
      <c r="B11" s="137" t="s">
        <v>99</v>
      </c>
      <c r="C11" s="141" t="s">
        <v>97</v>
      </c>
      <c r="D11" s="142">
        <f>IF((MAX('2_evaluate_surveys'!$D14:$AE14)-MIN('2_evaluate_surveys'!$D14:$AE14))=0,0,(('2_evaluate_surveys'!D14-MIN('2_evaluate_surveys'!$D14:$AE14))/(MAX('2_evaluate_surveys'!$D14:$AE14)-MIN('2_evaluate_surveys'!$D14:$AE14))))</f>
        <v>1</v>
      </c>
      <c r="E11" s="142">
        <f>IF((MAX('2_evaluate_surveys'!$D14:$AE14)-MIN('2_evaluate_surveys'!$D14:$AE14))=0,0,(('2_evaluate_surveys'!E14-MIN('2_evaluate_surveys'!$D14:$AE14))/(MAX('2_evaluate_surveys'!$D14:$AE14)-MIN('2_evaluate_surveys'!$D14:$AE14))))</f>
        <v>1</v>
      </c>
      <c r="F11" s="147">
        <f>IF((MAX('2_evaluate_surveys'!$D14:$AE14)-MIN('2_evaluate_surveys'!$D14:$AE14))=0,0,(('2_evaluate_surveys'!F14-MIN('2_evaluate_surveys'!$D14:$AE14))/(MAX('2_evaluate_surveys'!$D14:$AE14)-MIN('2_evaluate_surveys'!$D14:$AE14))))</f>
        <v>1</v>
      </c>
      <c r="G11" s="72">
        <f>IF((MAX('2_evaluate_surveys'!$D14:$AE14)-MIN('2_evaluate_surveys'!$D14:$AE14))=0,0,(('2_evaluate_surveys'!G14-MIN('2_evaluate_surveys'!$D14:$AE14))/(MAX('2_evaluate_surveys'!$D14:$AE14)-MIN('2_evaluate_surveys'!$D14:$AE14))))</f>
        <v>1</v>
      </c>
      <c r="H11" s="72">
        <f>IF((MAX('2_evaluate_surveys'!$D14:$AE14)-MIN('2_evaluate_surveys'!$D14:$AE14))=0,0,(('2_evaluate_surveys'!H14-MIN('2_evaluate_surveys'!$D14:$AE14))/(MAX('2_evaluate_surveys'!$D14:$AE14)-MIN('2_evaluate_surveys'!$D14:$AE14))))</f>
        <v>1</v>
      </c>
      <c r="I11" s="72">
        <f>IF((MAX('2_evaluate_surveys'!$D14:$AE14)-MIN('2_evaluate_surveys'!$D14:$AE14))=0,0,(('2_evaluate_surveys'!I14-MIN('2_evaluate_surveys'!$D14:$AE14))/(MAX('2_evaluate_surveys'!$D14:$AE14)-MIN('2_evaluate_surveys'!$D14:$AE14))))</f>
        <v>1</v>
      </c>
      <c r="J11" s="72">
        <f>IF((MAX('2_evaluate_surveys'!$D14:$AE14)-MIN('2_evaluate_surveys'!$D14:$AE14))=0,0,(('2_evaluate_surveys'!J14-MIN('2_evaluate_surveys'!$D14:$AE14))/(MAX('2_evaluate_surveys'!$D14:$AE14)-MIN('2_evaluate_surveys'!$D14:$AE14))))</f>
        <v>1</v>
      </c>
      <c r="K11" s="72">
        <f>IF((MAX('2_evaluate_surveys'!$D14:$AE14)-MIN('2_evaluate_surveys'!$D14:$AE14))=0,0,(('2_evaluate_surveys'!K14-MIN('2_evaluate_surveys'!$D14:$AE14))/(MAX('2_evaluate_surveys'!$D14:$AE14)-MIN('2_evaluate_surveys'!$D14:$AE14))))</f>
        <v>1</v>
      </c>
      <c r="L11" s="72">
        <f>IF((MAX('2_evaluate_surveys'!$D14:$AE14)-MIN('2_evaluate_surveys'!$D14:$AE14))=0,0,(('2_evaluate_surveys'!L14-MIN('2_evaluate_surveys'!$D14:$AE14))/(MAX('2_evaluate_surveys'!$D14:$AE14)-MIN('2_evaluate_surveys'!$D14:$AE14))))</f>
        <v>1</v>
      </c>
      <c r="M11" s="72">
        <f>IF((MAX('2_evaluate_surveys'!$D14:$AE14)-MIN('2_evaluate_surveys'!$D14:$AE14))=0,0,(('2_evaluate_surveys'!M14-MIN('2_evaluate_surveys'!$D14:$AE14))/(MAX('2_evaluate_surveys'!$D14:$AE14)-MIN('2_evaluate_surveys'!$D14:$AE14))))</f>
        <v>0</v>
      </c>
      <c r="N11" s="72">
        <f>IF((MAX('2_evaluate_surveys'!$D14:$AE14)-MIN('2_evaluate_surveys'!$D14:$AE14))=0,0,(('2_evaluate_surveys'!N14-MIN('2_evaluate_surveys'!$D14:$AE14))/(MAX('2_evaluate_surveys'!$D14:$AE14)-MIN('2_evaluate_surveys'!$D14:$AE14))))</f>
        <v>1</v>
      </c>
      <c r="O11" s="72">
        <f>IF((MAX('2_evaluate_surveys'!$D14:$AE14)-MIN('2_evaluate_surveys'!$D14:$AE14))=0,0,(('2_evaluate_surveys'!O14-MIN('2_evaluate_surveys'!$D14:$AE14))/(MAX('2_evaluate_surveys'!$D14:$AE14)-MIN('2_evaluate_surveys'!$D14:$AE14))))</f>
        <v>1</v>
      </c>
      <c r="P11" s="72">
        <f>IF((MAX('2_evaluate_surveys'!$D14:$AE14)-MIN('2_evaluate_surveys'!$D14:$AE14))=0,0,(('2_evaluate_surveys'!P14-MIN('2_evaluate_surveys'!$D14:$AE14))/(MAX('2_evaluate_surveys'!$D14:$AE14)-MIN('2_evaluate_surveys'!$D14:$AE14))))</f>
        <v>1</v>
      </c>
      <c r="Q11" s="72">
        <f>IF((MAX('2_evaluate_surveys'!$D14:$AE14)-MIN('2_evaluate_surveys'!$D14:$AE14))=0,0,(('2_evaluate_surveys'!Q14-MIN('2_evaluate_surveys'!$D14:$AE14))/(MAX('2_evaluate_surveys'!$D14:$AE14)-MIN('2_evaluate_surveys'!$D14:$AE14))))</f>
        <v>1</v>
      </c>
      <c r="R11" s="72">
        <f>IF((MAX('2_evaluate_surveys'!$D14:$AE14)-MIN('2_evaluate_surveys'!$D14:$AE14))=0,0,(('2_evaluate_surveys'!R14-MIN('2_evaluate_surveys'!$D14:$AE14))/(MAX('2_evaluate_surveys'!$D14:$AE14)-MIN('2_evaluate_surveys'!$D14:$AE14))))</f>
        <v>1</v>
      </c>
      <c r="S11" s="72">
        <f>IF((MAX('2_evaluate_surveys'!$D14:$AE14)-MIN('2_evaluate_surveys'!$D14:$AE14))=0,0,(('2_evaluate_surveys'!S14-MIN('2_evaluate_surveys'!$D14:$AE14))/(MAX('2_evaluate_surveys'!$D14:$AE14)-MIN('2_evaluate_surveys'!$D14:$AE14))))</f>
        <v>0</v>
      </c>
      <c r="T11" s="72">
        <f>IF((MAX('2_evaluate_surveys'!$D14:$AE14)-MIN('2_evaluate_surveys'!$D14:$AE14))=0,0,(('2_evaluate_surveys'!T14-MIN('2_evaluate_surveys'!$D14:$AE14))/(MAX('2_evaluate_surveys'!$D14:$AE14)-MIN('2_evaluate_surveys'!$D14:$AE14))))</f>
        <v>1</v>
      </c>
      <c r="U11" s="72">
        <f>IF((MAX('2_evaluate_surveys'!$D14:$AE14)-MIN('2_evaluate_surveys'!$D14:$AE14))=0,0,(('2_evaluate_surveys'!U14-MIN('2_evaluate_surveys'!$D14:$AE14))/(MAX('2_evaluate_surveys'!$D14:$AE14)-MIN('2_evaluate_surveys'!$D14:$AE14))))</f>
        <v>0</v>
      </c>
      <c r="V11" s="72">
        <f>IF((MAX('2_evaluate_surveys'!$D14:$AE14)-MIN('2_evaluate_surveys'!$D14:$AE14))=0,0,(('2_evaluate_surveys'!V14-MIN('2_evaluate_surveys'!$D14:$AE14))/(MAX('2_evaluate_surveys'!$D14:$AE14)-MIN('2_evaluate_surveys'!$D14:$AE14))))</f>
        <v>0</v>
      </c>
      <c r="W11" s="72">
        <f>IF((MAX('2_evaluate_surveys'!$D14:$AE14)-MIN('2_evaluate_surveys'!$D14:$AE14))=0,0,(('2_evaluate_surveys'!W14-MIN('2_evaluate_surveys'!$D14:$AE14))/(MAX('2_evaluate_surveys'!$D14:$AE14)-MIN('2_evaluate_surveys'!$D14:$AE14))))</f>
        <v>1</v>
      </c>
      <c r="X11" s="72">
        <f>IF((MAX('2_evaluate_surveys'!$D14:$AE14)-MIN('2_evaluate_surveys'!$D14:$AE14))=0,0,(('2_evaluate_surveys'!X14-MIN('2_evaluate_surveys'!$D14:$AE14))/(MAX('2_evaluate_surveys'!$D14:$AE14)-MIN('2_evaluate_surveys'!$D14:$AE14))))</f>
        <v>0</v>
      </c>
      <c r="Y11" s="72">
        <f>IF((MAX('2_evaluate_surveys'!$D14:$AE14)-MIN('2_evaluate_surveys'!$D14:$AE14))=0,0,(('2_evaluate_surveys'!Y14-MIN('2_evaluate_surveys'!$D14:$AE14))/(MAX('2_evaluate_surveys'!$D14:$AE14)-MIN('2_evaluate_surveys'!$D14:$AE14))))</f>
        <v>0</v>
      </c>
      <c r="Z11" s="72">
        <f>IF((MAX('2_evaluate_surveys'!$D14:$AE14)-MIN('2_evaluate_surveys'!$D14:$AE14))=0,0,(('2_evaluate_surveys'!Z14-MIN('2_evaluate_surveys'!$D14:$AE14))/(MAX('2_evaluate_surveys'!$D14:$AE14)-MIN('2_evaluate_surveys'!$D14:$AE14))))</f>
        <v>0</v>
      </c>
      <c r="AA11" s="72">
        <f>IF((MAX('2_evaluate_surveys'!$D14:$AE14)-MIN('2_evaluate_surveys'!$D14:$AE14))=0,0,(('2_evaluate_surveys'!AA14-MIN('2_evaluate_surveys'!$D14:$AE14))/(MAX('2_evaluate_surveys'!$D14:$AE14)-MIN('2_evaluate_surveys'!$D14:$AE14))))</f>
        <v>0</v>
      </c>
      <c r="AB11" s="72">
        <f>IF((MAX('2_evaluate_surveys'!$D14:$AE14)-MIN('2_evaluate_surveys'!$D14:$AE14))=0,0,(('2_evaluate_surveys'!AB14-MIN('2_evaluate_surveys'!$D14:$AE14))/(MAX('2_evaluate_surveys'!$D14:$AE14)-MIN('2_evaluate_surveys'!$D14:$AE14))))</f>
        <v>1</v>
      </c>
      <c r="AC11" s="72">
        <f>IF((MAX('2_evaluate_surveys'!$D14:$AE14)-MIN('2_evaluate_surveys'!$D14:$AE14))=0,0,(('2_evaluate_surveys'!AC14-MIN('2_evaluate_surveys'!$D14:$AE14))/(MAX('2_evaluate_surveys'!$D14:$AE14)-MIN('2_evaluate_surveys'!$D14:$AE14))))</f>
        <v>1</v>
      </c>
      <c r="AD11" s="72">
        <f>IF((MAX('2_evaluate_surveys'!$D14:$AE14)-MIN('2_evaluate_surveys'!$D14:$AE14))=0,0,(('2_evaluate_surveys'!AD14-MIN('2_evaluate_surveys'!$D14:$AE14))/(MAX('2_evaluate_surveys'!$D14:$AE14)-MIN('2_evaluate_surveys'!$D14:$AE14))))</f>
        <v>1</v>
      </c>
      <c r="AE11" s="72">
        <f>IF((MAX('2_evaluate_surveys'!$D14:$AE14)-MIN('2_evaluate_surveys'!$D14:$AE14))=0,0,(('2_evaluate_surveys'!AE14-MIN('2_evaluate_surveys'!$D14:$AE14))/(MAX('2_evaluate_surveys'!$D14:$AE14)-MIN('2_evaluate_surveys'!$D14:$AE14))))</f>
        <v>1</v>
      </c>
      <c r="AF11" s="72">
        <f>IF((MAX('2_evaluate_surveys'!$D14:$AE14)-MIN('2_evaluate_surveys'!$D14:$AE14))=0,0,(('2_evaluate_surveys'!AF14-MIN('2_evaluate_surveys'!$D14:$AE14))/(MAX('2_evaluate_surveys'!$D14:$AE14)-MIN('2_evaluate_surveys'!$D14:$AE14))))</f>
        <v>1</v>
      </c>
      <c r="AG11" s="72">
        <f>IF((MAX('2_evaluate_surveys'!$D14:$AE14)-MIN('2_evaluate_surveys'!$D14:$AE14))=0,0,(('2_evaluate_surveys'!AG14-MIN('2_evaluate_surveys'!$D14:$AE14))/(MAX('2_evaluate_surveys'!$D14:$AE14)-MIN('2_evaluate_surveys'!$D14:$AE14))))</f>
        <v>0</v>
      </c>
      <c r="AH11" s="72">
        <f>IF((MAX('2_evaluate_surveys'!$D14:$AE14)-MIN('2_evaluate_surveys'!$D14:$AE14))=0,0,(('2_evaluate_surveys'!AH14-MIN('2_evaluate_surveys'!$D14:$AE14))/(MAX('2_evaluate_surveys'!$D14:$AE14)-MIN('2_evaluate_surveys'!$D14:$AE14))))</f>
        <v>0</v>
      </c>
    </row>
    <row r="12" spans="1:34" x14ac:dyDescent="0.35">
      <c r="A12" s="139">
        <v>7</v>
      </c>
      <c r="B12" s="137" t="s">
        <v>30</v>
      </c>
      <c r="C12" s="141" t="s">
        <v>97</v>
      </c>
      <c r="D12" s="142">
        <f>IF((MAX('2_evaluate_surveys'!$D15:$AE15)-MIN('2_evaluate_surveys'!$D15:$AE15))=0,0,(('2_evaluate_surveys'!D15-MIN('2_evaluate_surveys'!$D15:$AE15))/(MAX('2_evaluate_surveys'!$D15:$AE15)-MIN('2_evaluate_surveys'!$D15:$AE15))))</f>
        <v>0.33333333333333331</v>
      </c>
      <c r="E12" s="142">
        <f>IF((MAX('2_evaluate_surveys'!$D15:$AE15)-MIN('2_evaluate_surveys'!$D15:$AE15))=0,0,(('2_evaluate_surveys'!E15-MIN('2_evaluate_surveys'!$D15:$AE15))/(MAX('2_evaluate_surveys'!$D15:$AE15)-MIN('2_evaluate_surveys'!$D15:$AE15))))</f>
        <v>0.33333333333333331</v>
      </c>
      <c r="F12" s="147">
        <f>IF((MAX('2_evaluate_surveys'!$D15:$AE15)-MIN('2_evaluate_surveys'!$D15:$AE15))=0,0,(('2_evaluate_surveys'!F15-MIN('2_evaluate_surveys'!$D15:$AE15))/(MAX('2_evaluate_surveys'!$D15:$AE15)-MIN('2_evaluate_surveys'!$D15:$AE15))))</f>
        <v>0.33333333333333331</v>
      </c>
      <c r="G12" s="72">
        <f>IF((MAX('2_evaluate_surveys'!$D15:$AE15)-MIN('2_evaluate_surveys'!$D15:$AE15))=0,0,(('2_evaluate_surveys'!G15-MIN('2_evaluate_surveys'!$D15:$AE15))/(MAX('2_evaluate_surveys'!$D15:$AE15)-MIN('2_evaluate_surveys'!$D15:$AE15))))</f>
        <v>0.33333333333333331</v>
      </c>
      <c r="H12" s="72">
        <f>IF((MAX('2_evaluate_surveys'!$D15:$AE15)-MIN('2_evaluate_surveys'!$D15:$AE15))=0,0,(('2_evaluate_surveys'!H15-MIN('2_evaluate_surveys'!$D15:$AE15))/(MAX('2_evaluate_surveys'!$D15:$AE15)-MIN('2_evaluate_surveys'!$D15:$AE15))))</f>
        <v>0</v>
      </c>
      <c r="I12" s="72">
        <f>IF((MAX('2_evaluate_surveys'!$D15:$AE15)-MIN('2_evaluate_surveys'!$D15:$AE15))=0,0,(('2_evaluate_surveys'!I15-MIN('2_evaluate_surveys'!$D15:$AE15))/(MAX('2_evaluate_surveys'!$D15:$AE15)-MIN('2_evaluate_surveys'!$D15:$AE15))))</f>
        <v>0</v>
      </c>
      <c r="J12" s="72">
        <f>IF((MAX('2_evaluate_surveys'!$D15:$AE15)-MIN('2_evaluate_surveys'!$D15:$AE15))=0,0,(('2_evaluate_surveys'!J15-MIN('2_evaluate_surveys'!$D15:$AE15))/(MAX('2_evaluate_surveys'!$D15:$AE15)-MIN('2_evaluate_surveys'!$D15:$AE15))))</f>
        <v>0</v>
      </c>
      <c r="K12" s="72">
        <f>IF((MAX('2_evaluate_surveys'!$D15:$AE15)-MIN('2_evaluate_surveys'!$D15:$AE15))=0,0,(('2_evaluate_surveys'!K15-MIN('2_evaluate_surveys'!$D15:$AE15))/(MAX('2_evaluate_surveys'!$D15:$AE15)-MIN('2_evaluate_surveys'!$D15:$AE15))))</f>
        <v>0</v>
      </c>
      <c r="L12" s="72">
        <f>IF((MAX('2_evaluate_surveys'!$D15:$AE15)-MIN('2_evaluate_surveys'!$D15:$AE15))=0,0,(('2_evaluate_surveys'!L15-MIN('2_evaluate_surveys'!$D15:$AE15))/(MAX('2_evaluate_surveys'!$D15:$AE15)-MIN('2_evaluate_surveys'!$D15:$AE15))))</f>
        <v>0</v>
      </c>
      <c r="M12" s="72">
        <f>IF((MAX('2_evaluate_surveys'!$D15:$AE15)-MIN('2_evaluate_surveys'!$D15:$AE15))=0,0,(('2_evaluate_surveys'!M15-MIN('2_evaluate_surveys'!$D15:$AE15))/(MAX('2_evaluate_surveys'!$D15:$AE15)-MIN('2_evaluate_surveys'!$D15:$AE15))))</f>
        <v>0</v>
      </c>
      <c r="N12" s="72">
        <f>IF((MAX('2_evaluate_surveys'!$D15:$AE15)-MIN('2_evaluate_surveys'!$D15:$AE15))=0,0,(('2_evaluate_surveys'!N15-MIN('2_evaluate_surveys'!$D15:$AE15))/(MAX('2_evaluate_surveys'!$D15:$AE15)-MIN('2_evaluate_surveys'!$D15:$AE15))))</f>
        <v>0</v>
      </c>
      <c r="O12" s="72">
        <f>IF((MAX('2_evaluate_surveys'!$D15:$AE15)-MIN('2_evaluate_surveys'!$D15:$AE15))=0,0,(('2_evaluate_surveys'!O15-MIN('2_evaluate_surveys'!$D15:$AE15))/(MAX('2_evaluate_surveys'!$D15:$AE15)-MIN('2_evaluate_surveys'!$D15:$AE15))))</f>
        <v>1</v>
      </c>
      <c r="P12" s="72">
        <f>IF((MAX('2_evaluate_surveys'!$D15:$AE15)-MIN('2_evaluate_surveys'!$D15:$AE15))=0,0,(('2_evaluate_surveys'!P15-MIN('2_evaluate_surveys'!$D15:$AE15))/(MAX('2_evaluate_surveys'!$D15:$AE15)-MIN('2_evaluate_surveys'!$D15:$AE15))))</f>
        <v>0.33333333333333331</v>
      </c>
      <c r="Q12" s="72">
        <f>IF((MAX('2_evaluate_surveys'!$D15:$AE15)-MIN('2_evaluate_surveys'!$D15:$AE15))=0,0,(('2_evaluate_surveys'!Q15-MIN('2_evaluate_surveys'!$D15:$AE15))/(MAX('2_evaluate_surveys'!$D15:$AE15)-MIN('2_evaluate_surveys'!$D15:$AE15))))</f>
        <v>0</v>
      </c>
      <c r="R12" s="72">
        <f>IF((MAX('2_evaluate_surveys'!$D15:$AE15)-MIN('2_evaluate_surveys'!$D15:$AE15))=0,0,(('2_evaluate_surveys'!R15-MIN('2_evaluate_surveys'!$D15:$AE15))/(MAX('2_evaluate_surveys'!$D15:$AE15)-MIN('2_evaluate_surveys'!$D15:$AE15))))</f>
        <v>0</v>
      </c>
      <c r="S12" s="72">
        <f>IF((MAX('2_evaluate_surveys'!$D15:$AE15)-MIN('2_evaluate_surveys'!$D15:$AE15))=0,0,(('2_evaluate_surveys'!S15-MIN('2_evaluate_surveys'!$D15:$AE15))/(MAX('2_evaluate_surveys'!$D15:$AE15)-MIN('2_evaluate_surveys'!$D15:$AE15))))</f>
        <v>0</v>
      </c>
      <c r="T12" s="72">
        <f>IF((MAX('2_evaluate_surveys'!$D15:$AE15)-MIN('2_evaluate_surveys'!$D15:$AE15))=0,0,(('2_evaluate_surveys'!T15-MIN('2_evaluate_surveys'!$D15:$AE15))/(MAX('2_evaluate_surveys'!$D15:$AE15)-MIN('2_evaluate_surveys'!$D15:$AE15))))</f>
        <v>0</v>
      </c>
      <c r="U12" s="72">
        <f>IF((MAX('2_evaluate_surveys'!$D15:$AE15)-MIN('2_evaluate_surveys'!$D15:$AE15))=0,0,(('2_evaluate_surveys'!U15-MIN('2_evaluate_surveys'!$D15:$AE15))/(MAX('2_evaluate_surveys'!$D15:$AE15)-MIN('2_evaluate_surveys'!$D15:$AE15))))</f>
        <v>0</v>
      </c>
      <c r="V12" s="72">
        <f>IF((MAX('2_evaluate_surveys'!$D15:$AE15)-MIN('2_evaluate_surveys'!$D15:$AE15))=0,0,(('2_evaluate_surveys'!V15-MIN('2_evaluate_surveys'!$D15:$AE15))/(MAX('2_evaluate_surveys'!$D15:$AE15)-MIN('2_evaluate_surveys'!$D15:$AE15))))</f>
        <v>0</v>
      </c>
      <c r="W12" s="72">
        <f>IF((MAX('2_evaluate_surveys'!$D15:$AE15)-MIN('2_evaluate_surveys'!$D15:$AE15))=0,0,(('2_evaluate_surveys'!W15-MIN('2_evaluate_surveys'!$D15:$AE15))/(MAX('2_evaluate_surveys'!$D15:$AE15)-MIN('2_evaluate_surveys'!$D15:$AE15))))</f>
        <v>0.33333333333333331</v>
      </c>
      <c r="X12" s="72">
        <f>IF((MAX('2_evaluate_surveys'!$D15:$AE15)-MIN('2_evaluate_surveys'!$D15:$AE15))=0,0,(('2_evaluate_surveys'!X15-MIN('2_evaluate_surveys'!$D15:$AE15))/(MAX('2_evaluate_surveys'!$D15:$AE15)-MIN('2_evaluate_surveys'!$D15:$AE15))))</f>
        <v>0.33333333333333331</v>
      </c>
      <c r="Y12" s="72">
        <f>IF((MAX('2_evaluate_surveys'!$D15:$AE15)-MIN('2_evaluate_surveys'!$D15:$AE15))=0,0,(('2_evaluate_surveys'!Y15-MIN('2_evaluate_surveys'!$D15:$AE15))/(MAX('2_evaluate_surveys'!$D15:$AE15)-MIN('2_evaluate_surveys'!$D15:$AE15))))</f>
        <v>0</v>
      </c>
      <c r="Z12" s="72">
        <f>IF((MAX('2_evaluate_surveys'!$D15:$AE15)-MIN('2_evaluate_surveys'!$D15:$AE15))=0,0,(('2_evaluate_surveys'!Z15-MIN('2_evaluate_surveys'!$D15:$AE15))/(MAX('2_evaluate_surveys'!$D15:$AE15)-MIN('2_evaluate_surveys'!$D15:$AE15))))</f>
        <v>0</v>
      </c>
      <c r="AA12" s="72">
        <f>IF((MAX('2_evaluate_surveys'!$D15:$AE15)-MIN('2_evaluate_surveys'!$D15:$AE15))=0,0,(('2_evaluate_surveys'!AA15-MIN('2_evaluate_surveys'!$D15:$AE15))/(MAX('2_evaluate_surveys'!$D15:$AE15)-MIN('2_evaluate_surveys'!$D15:$AE15))))</f>
        <v>0.33333333333333331</v>
      </c>
      <c r="AB12" s="72">
        <f>IF((MAX('2_evaluate_surveys'!$D15:$AE15)-MIN('2_evaluate_surveys'!$D15:$AE15))=0,0,(('2_evaluate_surveys'!AB15-MIN('2_evaluate_surveys'!$D15:$AE15))/(MAX('2_evaluate_surveys'!$D15:$AE15)-MIN('2_evaluate_surveys'!$D15:$AE15))))</f>
        <v>0</v>
      </c>
      <c r="AC12" s="72">
        <f>IF((MAX('2_evaluate_surveys'!$D15:$AE15)-MIN('2_evaluate_surveys'!$D15:$AE15))=0,0,(('2_evaluate_surveys'!AC15-MIN('2_evaluate_surveys'!$D15:$AE15))/(MAX('2_evaluate_surveys'!$D15:$AE15)-MIN('2_evaluate_surveys'!$D15:$AE15))))</f>
        <v>0</v>
      </c>
      <c r="AD12" s="72">
        <f>IF((MAX('2_evaluate_surveys'!$D15:$AE15)-MIN('2_evaluate_surveys'!$D15:$AE15))=0,0,(('2_evaluate_surveys'!AD15-MIN('2_evaluate_surveys'!$D15:$AE15))/(MAX('2_evaluate_surveys'!$D15:$AE15)-MIN('2_evaluate_surveys'!$D15:$AE15))))</f>
        <v>0.33333333333333331</v>
      </c>
      <c r="AE12" s="72">
        <f>IF((MAX('2_evaluate_surveys'!$D15:$AE15)-MIN('2_evaluate_surveys'!$D15:$AE15))=0,0,(('2_evaluate_surveys'!AE15-MIN('2_evaluate_surveys'!$D15:$AE15))/(MAX('2_evaluate_surveys'!$D15:$AE15)-MIN('2_evaluate_surveys'!$D15:$AE15))))</f>
        <v>0.33333333333333331</v>
      </c>
      <c r="AF12" s="72">
        <f>IF((MAX('2_evaluate_surveys'!$D15:$AE15)-MIN('2_evaluate_surveys'!$D15:$AE15))=0,0,(('2_evaluate_surveys'!AF15-MIN('2_evaluate_surveys'!$D15:$AE15))/(MAX('2_evaluate_surveys'!$D15:$AE15)-MIN('2_evaluate_surveys'!$D15:$AE15))))</f>
        <v>0.66666666666666663</v>
      </c>
      <c r="AG12" s="72">
        <f>IF((MAX('2_evaluate_surveys'!$D15:$AE15)-MIN('2_evaluate_surveys'!$D15:$AE15))=0,0,(('2_evaluate_surveys'!AG15-MIN('2_evaluate_surveys'!$D15:$AE15))/(MAX('2_evaluate_surveys'!$D15:$AE15)-MIN('2_evaluate_surveys'!$D15:$AE15))))</f>
        <v>0.33333333333333331</v>
      </c>
      <c r="AH12" s="72">
        <f>IF((MAX('2_evaluate_surveys'!$D15:$AE15)-MIN('2_evaluate_surveys'!$D15:$AE15))=0,0,(('2_evaluate_surveys'!AH15-MIN('2_evaluate_surveys'!$D15:$AE15))/(MAX('2_evaluate_surveys'!$D15:$AE15)-MIN('2_evaluate_surveys'!$D15:$AE15))))</f>
        <v>0.33333333333333331</v>
      </c>
    </row>
    <row r="13" spans="1:34" x14ac:dyDescent="0.35">
      <c r="A13" s="139">
        <v>8</v>
      </c>
      <c r="B13" s="137" t="s">
        <v>31</v>
      </c>
      <c r="C13" s="141" t="s">
        <v>97</v>
      </c>
      <c r="D13" s="142">
        <f>IF((MAX('2_evaluate_surveys'!$D16:$AE16)-MIN('2_evaluate_surveys'!$D16:$AE16))=0,0,(('2_evaluate_surveys'!D16-MIN('2_evaluate_surveys'!$D16:$AE16))/(MAX('2_evaluate_surveys'!$D16:$AE16)-MIN('2_evaluate_surveys'!$D16:$AE16))))</f>
        <v>0</v>
      </c>
      <c r="E13" s="142">
        <f>IF((MAX('2_evaluate_surveys'!$D16:$AE16)-MIN('2_evaluate_surveys'!$D16:$AE16))=0,0,(('2_evaluate_surveys'!E16-MIN('2_evaluate_surveys'!$D16:$AE16))/(MAX('2_evaluate_surveys'!$D16:$AE16)-MIN('2_evaluate_surveys'!$D16:$AE16))))</f>
        <v>1</v>
      </c>
      <c r="F13" s="147">
        <f>IF((MAX('2_evaluate_surveys'!$D16:$AE16)-MIN('2_evaluate_surveys'!$D16:$AE16))=0,0,(('2_evaluate_surveys'!F16-MIN('2_evaluate_surveys'!$D16:$AE16))/(MAX('2_evaluate_surveys'!$D16:$AE16)-MIN('2_evaluate_surveys'!$D16:$AE16))))</f>
        <v>1</v>
      </c>
      <c r="G13" s="72">
        <f>IF((MAX('2_evaluate_surveys'!$D16:$AE16)-MIN('2_evaluate_surveys'!$D16:$AE16))=0,0,(('2_evaluate_surveys'!G16-MIN('2_evaluate_surveys'!$D16:$AE16))/(MAX('2_evaluate_surveys'!$D16:$AE16)-MIN('2_evaluate_surveys'!$D16:$AE16))))</f>
        <v>0</v>
      </c>
      <c r="H13" s="72">
        <f>IF((MAX('2_evaluate_surveys'!$D16:$AE16)-MIN('2_evaluate_surveys'!$D16:$AE16))=0,0,(('2_evaluate_surveys'!H16-MIN('2_evaluate_surveys'!$D16:$AE16))/(MAX('2_evaluate_surveys'!$D16:$AE16)-MIN('2_evaluate_surveys'!$D16:$AE16))))</f>
        <v>0</v>
      </c>
      <c r="I13" s="72">
        <f>IF((MAX('2_evaluate_surveys'!$D16:$AE16)-MIN('2_evaluate_surveys'!$D16:$AE16))=0,0,(('2_evaluate_surveys'!I16-MIN('2_evaluate_surveys'!$D16:$AE16))/(MAX('2_evaluate_surveys'!$D16:$AE16)-MIN('2_evaluate_surveys'!$D16:$AE16))))</f>
        <v>0.33333333333333331</v>
      </c>
      <c r="J13" s="72">
        <f>IF((MAX('2_evaluate_surveys'!$D16:$AE16)-MIN('2_evaluate_surveys'!$D16:$AE16))=0,0,(('2_evaluate_surveys'!J16-MIN('2_evaluate_surveys'!$D16:$AE16))/(MAX('2_evaluate_surveys'!$D16:$AE16)-MIN('2_evaluate_surveys'!$D16:$AE16))))</f>
        <v>0.33333333333333331</v>
      </c>
      <c r="K13" s="72">
        <f>IF((MAX('2_evaluate_surveys'!$D16:$AE16)-MIN('2_evaluate_surveys'!$D16:$AE16))=0,0,(('2_evaluate_surveys'!K16-MIN('2_evaluate_surveys'!$D16:$AE16))/(MAX('2_evaluate_surveys'!$D16:$AE16)-MIN('2_evaluate_surveys'!$D16:$AE16))))</f>
        <v>1</v>
      </c>
      <c r="L13" s="72">
        <f>IF((MAX('2_evaluate_surveys'!$D16:$AE16)-MIN('2_evaluate_surveys'!$D16:$AE16))=0,0,(('2_evaluate_surveys'!L16-MIN('2_evaluate_surveys'!$D16:$AE16))/(MAX('2_evaluate_surveys'!$D16:$AE16)-MIN('2_evaluate_surveys'!$D16:$AE16))))</f>
        <v>1</v>
      </c>
      <c r="M13" s="72">
        <f>IF((MAX('2_evaluate_surveys'!$D16:$AE16)-MIN('2_evaluate_surveys'!$D16:$AE16))=0,0,(('2_evaluate_surveys'!M16-MIN('2_evaluate_surveys'!$D16:$AE16))/(MAX('2_evaluate_surveys'!$D16:$AE16)-MIN('2_evaluate_surveys'!$D16:$AE16))))</f>
        <v>0</v>
      </c>
      <c r="N13" s="72">
        <f>IF((MAX('2_evaluate_surveys'!$D16:$AE16)-MIN('2_evaluate_surveys'!$D16:$AE16))=0,0,(('2_evaluate_surveys'!N16-MIN('2_evaluate_surveys'!$D16:$AE16))/(MAX('2_evaluate_surveys'!$D16:$AE16)-MIN('2_evaluate_surveys'!$D16:$AE16))))</f>
        <v>0</v>
      </c>
      <c r="O13" s="72">
        <f>IF((MAX('2_evaluate_surveys'!$D16:$AE16)-MIN('2_evaluate_surveys'!$D16:$AE16))=0,0,(('2_evaluate_surveys'!O16-MIN('2_evaluate_surveys'!$D16:$AE16))/(MAX('2_evaluate_surveys'!$D16:$AE16)-MIN('2_evaluate_surveys'!$D16:$AE16))))</f>
        <v>1</v>
      </c>
      <c r="P13" s="72">
        <f>IF((MAX('2_evaluate_surveys'!$D16:$AE16)-MIN('2_evaluate_surveys'!$D16:$AE16))=0,0,(('2_evaluate_surveys'!P16-MIN('2_evaluate_surveys'!$D16:$AE16))/(MAX('2_evaluate_surveys'!$D16:$AE16)-MIN('2_evaluate_surveys'!$D16:$AE16))))</f>
        <v>0</v>
      </c>
      <c r="Q13" s="72">
        <f>IF((MAX('2_evaluate_surveys'!$D16:$AE16)-MIN('2_evaluate_surveys'!$D16:$AE16))=0,0,(('2_evaluate_surveys'!Q16-MIN('2_evaluate_surveys'!$D16:$AE16))/(MAX('2_evaluate_surveys'!$D16:$AE16)-MIN('2_evaluate_surveys'!$D16:$AE16))))</f>
        <v>0</v>
      </c>
      <c r="R13" s="72">
        <f>IF((MAX('2_evaluate_surveys'!$D16:$AE16)-MIN('2_evaluate_surveys'!$D16:$AE16))=0,0,(('2_evaluate_surveys'!R16-MIN('2_evaluate_surveys'!$D16:$AE16))/(MAX('2_evaluate_surveys'!$D16:$AE16)-MIN('2_evaluate_surveys'!$D16:$AE16))))</f>
        <v>0</v>
      </c>
      <c r="S13" s="72">
        <f>IF((MAX('2_evaluate_surveys'!$D16:$AE16)-MIN('2_evaluate_surveys'!$D16:$AE16))=0,0,(('2_evaluate_surveys'!S16-MIN('2_evaluate_surveys'!$D16:$AE16))/(MAX('2_evaluate_surveys'!$D16:$AE16)-MIN('2_evaluate_surveys'!$D16:$AE16))))</f>
        <v>0</v>
      </c>
      <c r="T13" s="72">
        <f>IF((MAX('2_evaluate_surveys'!$D16:$AE16)-MIN('2_evaluate_surveys'!$D16:$AE16))=0,0,(('2_evaluate_surveys'!T16-MIN('2_evaluate_surveys'!$D16:$AE16))/(MAX('2_evaluate_surveys'!$D16:$AE16)-MIN('2_evaluate_surveys'!$D16:$AE16))))</f>
        <v>0</v>
      </c>
      <c r="U13" s="72">
        <f>IF((MAX('2_evaluate_surveys'!$D16:$AE16)-MIN('2_evaluate_surveys'!$D16:$AE16))=0,0,(('2_evaluate_surveys'!U16-MIN('2_evaluate_surveys'!$D16:$AE16))/(MAX('2_evaluate_surveys'!$D16:$AE16)-MIN('2_evaluate_surveys'!$D16:$AE16))))</f>
        <v>0</v>
      </c>
      <c r="V13" s="72">
        <f>IF((MAX('2_evaluate_surveys'!$D16:$AE16)-MIN('2_evaluate_surveys'!$D16:$AE16))=0,0,(('2_evaluate_surveys'!V16-MIN('2_evaluate_surveys'!$D16:$AE16))/(MAX('2_evaluate_surveys'!$D16:$AE16)-MIN('2_evaluate_surveys'!$D16:$AE16))))</f>
        <v>0</v>
      </c>
      <c r="W13" s="72">
        <f>IF((MAX('2_evaluate_surveys'!$D16:$AE16)-MIN('2_evaluate_surveys'!$D16:$AE16))=0,0,(('2_evaluate_surveys'!W16-MIN('2_evaluate_surveys'!$D16:$AE16))/(MAX('2_evaluate_surveys'!$D16:$AE16)-MIN('2_evaluate_surveys'!$D16:$AE16))))</f>
        <v>0</v>
      </c>
      <c r="X13" s="72">
        <f>IF((MAX('2_evaluate_surveys'!$D16:$AE16)-MIN('2_evaluate_surveys'!$D16:$AE16))=0,0,(('2_evaluate_surveys'!X16-MIN('2_evaluate_surveys'!$D16:$AE16))/(MAX('2_evaluate_surveys'!$D16:$AE16)-MIN('2_evaluate_surveys'!$D16:$AE16))))</f>
        <v>1</v>
      </c>
      <c r="Y13" s="72">
        <f>IF((MAX('2_evaluate_surveys'!$D16:$AE16)-MIN('2_evaluate_surveys'!$D16:$AE16))=0,0,(('2_evaluate_surveys'!Y16-MIN('2_evaluate_surveys'!$D16:$AE16))/(MAX('2_evaluate_surveys'!$D16:$AE16)-MIN('2_evaluate_surveys'!$D16:$AE16))))</f>
        <v>1</v>
      </c>
      <c r="Z13" s="72">
        <f>IF((MAX('2_evaluate_surveys'!$D16:$AE16)-MIN('2_evaluate_surveys'!$D16:$AE16))=0,0,(('2_evaluate_surveys'!Z16-MIN('2_evaluate_surveys'!$D16:$AE16))/(MAX('2_evaluate_surveys'!$D16:$AE16)-MIN('2_evaluate_surveys'!$D16:$AE16))))</f>
        <v>1</v>
      </c>
      <c r="AA13" s="72">
        <f>IF((MAX('2_evaluate_surveys'!$D16:$AE16)-MIN('2_evaluate_surveys'!$D16:$AE16))=0,0,(('2_evaluate_surveys'!AA16-MIN('2_evaluate_surveys'!$D16:$AE16))/(MAX('2_evaluate_surveys'!$D16:$AE16)-MIN('2_evaluate_surveys'!$D16:$AE16))))</f>
        <v>0.66666666666666663</v>
      </c>
      <c r="AB13" s="72">
        <f>IF((MAX('2_evaluate_surveys'!$D16:$AE16)-MIN('2_evaluate_surveys'!$D16:$AE16))=0,0,(('2_evaluate_surveys'!AB16-MIN('2_evaluate_surveys'!$D16:$AE16))/(MAX('2_evaluate_surveys'!$D16:$AE16)-MIN('2_evaluate_surveys'!$D16:$AE16))))</f>
        <v>0</v>
      </c>
      <c r="AC13" s="72">
        <f>IF((MAX('2_evaluate_surveys'!$D16:$AE16)-MIN('2_evaluate_surveys'!$D16:$AE16))=0,0,(('2_evaluate_surveys'!AC16-MIN('2_evaluate_surveys'!$D16:$AE16))/(MAX('2_evaluate_surveys'!$D16:$AE16)-MIN('2_evaluate_surveys'!$D16:$AE16))))</f>
        <v>0.33333333333333331</v>
      </c>
      <c r="AD13" s="72">
        <f>IF((MAX('2_evaluate_surveys'!$D16:$AE16)-MIN('2_evaluate_surveys'!$D16:$AE16))=0,0,(('2_evaluate_surveys'!AD16-MIN('2_evaluate_surveys'!$D16:$AE16))/(MAX('2_evaluate_surveys'!$D16:$AE16)-MIN('2_evaluate_surveys'!$D16:$AE16))))</f>
        <v>1</v>
      </c>
      <c r="AE13" s="72">
        <f>IF((MAX('2_evaluate_surveys'!$D16:$AE16)-MIN('2_evaluate_surveys'!$D16:$AE16))=0,0,(('2_evaluate_surveys'!AE16-MIN('2_evaluate_surveys'!$D16:$AE16))/(MAX('2_evaluate_surveys'!$D16:$AE16)-MIN('2_evaluate_surveys'!$D16:$AE16))))</f>
        <v>1</v>
      </c>
      <c r="AF13" s="72">
        <f>IF((MAX('2_evaluate_surveys'!$D16:$AE16)-MIN('2_evaluate_surveys'!$D16:$AE16))=0,0,(('2_evaluate_surveys'!AF16-MIN('2_evaluate_surveys'!$D16:$AE16))/(MAX('2_evaluate_surveys'!$D16:$AE16)-MIN('2_evaluate_surveys'!$D16:$AE16))))</f>
        <v>0</v>
      </c>
      <c r="AG13" s="72">
        <f>IF((MAX('2_evaluate_surveys'!$D16:$AE16)-MIN('2_evaluate_surveys'!$D16:$AE16))=0,0,(('2_evaluate_surveys'!AG16-MIN('2_evaluate_surveys'!$D16:$AE16))/(MAX('2_evaluate_surveys'!$D16:$AE16)-MIN('2_evaluate_surveys'!$D16:$AE16))))</f>
        <v>0.33333333333333331</v>
      </c>
      <c r="AH13" s="72">
        <f>IF((MAX('2_evaluate_surveys'!$D16:$AE16)-MIN('2_evaluate_surveys'!$D16:$AE16))=0,0,(('2_evaluate_surveys'!AH16-MIN('2_evaluate_surveys'!$D16:$AE16))/(MAX('2_evaluate_surveys'!$D16:$AE16)-MIN('2_evaluate_surveys'!$D16:$AE16))))</f>
        <v>0.33333333333333331</v>
      </c>
    </row>
    <row r="14" spans="1:34" x14ac:dyDescent="0.35">
      <c r="A14" s="139">
        <v>9</v>
      </c>
      <c r="B14" s="137" t="s">
        <v>32</v>
      </c>
      <c r="C14" s="141" t="s">
        <v>97</v>
      </c>
      <c r="D14" s="142">
        <f>IF((MAX('2_evaluate_surveys'!$D17:$AE17)-MIN('2_evaluate_surveys'!$D17:$AE17))=0,0,(('2_evaluate_surveys'!D17-MIN('2_evaluate_surveys'!$D17:$AE17))/(MAX('2_evaluate_surveys'!$D17:$AE17)-MIN('2_evaluate_surveys'!$D17:$AE17))))</f>
        <v>0</v>
      </c>
      <c r="E14" s="142">
        <f>IF((MAX('2_evaluate_surveys'!$D17:$AE17)-MIN('2_evaluate_surveys'!$D17:$AE17))=0,0,(('2_evaluate_surveys'!E17-MIN('2_evaluate_surveys'!$D17:$AE17))/(MAX('2_evaluate_surveys'!$D17:$AE17)-MIN('2_evaluate_surveys'!$D17:$AE17))))</f>
        <v>0</v>
      </c>
      <c r="F14" s="147">
        <f>IF((MAX('2_evaluate_surveys'!$D17:$AE17)-MIN('2_evaluate_surveys'!$D17:$AE17))=0,0,(('2_evaluate_surveys'!F17-MIN('2_evaluate_surveys'!$D17:$AE17))/(MAX('2_evaluate_surveys'!$D17:$AE17)-MIN('2_evaluate_surveys'!$D17:$AE17))))</f>
        <v>0</v>
      </c>
      <c r="G14" s="72">
        <f>IF((MAX('2_evaluate_surveys'!$D17:$AE17)-MIN('2_evaluate_surveys'!$D17:$AE17))=0,0,(('2_evaluate_surveys'!G17-MIN('2_evaluate_surveys'!$D17:$AE17))/(MAX('2_evaluate_surveys'!$D17:$AE17)-MIN('2_evaluate_surveys'!$D17:$AE17))))</f>
        <v>0</v>
      </c>
      <c r="H14" s="72">
        <f>IF((MAX('2_evaluate_surveys'!$D17:$AE17)-MIN('2_evaluate_surveys'!$D17:$AE17))=0,0,(('2_evaluate_surveys'!H17-MIN('2_evaluate_surveys'!$D17:$AE17))/(MAX('2_evaluate_surveys'!$D17:$AE17)-MIN('2_evaluate_surveys'!$D17:$AE17))))</f>
        <v>0</v>
      </c>
      <c r="I14" s="72">
        <f>IF((MAX('2_evaluate_surveys'!$D17:$AE17)-MIN('2_evaluate_surveys'!$D17:$AE17))=0,0,(('2_evaluate_surveys'!I17-MIN('2_evaluate_surveys'!$D17:$AE17))/(MAX('2_evaluate_surveys'!$D17:$AE17)-MIN('2_evaluate_surveys'!$D17:$AE17))))</f>
        <v>0</v>
      </c>
      <c r="J14" s="72">
        <f>IF((MAX('2_evaluate_surveys'!$D17:$AE17)-MIN('2_evaluate_surveys'!$D17:$AE17))=0,0,(('2_evaluate_surveys'!J17-MIN('2_evaluate_surveys'!$D17:$AE17))/(MAX('2_evaluate_surveys'!$D17:$AE17)-MIN('2_evaluate_surveys'!$D17:$AE17))))</f>
        <v>0</v>
      </c>
      <c r="K14" s="72">
        <f>IF((MAX('2_evaluate_surveys'!$D17:$AE17)-MIN('2_evaluate_surveys'!$D17:$AE17))=0,0,(('2_evaluate_surveys'!K17-MIN('2_evaluate_surveys'!$D17:$AE17))/(MAX('2_evaluate_surveys'!$D17:$AE17)-MIN('2_evaluate_surveys'!$D17:$AE17))))</f>
        <v>0</v>
      </c>
      <c r="L14" s="72">
        <f>IF((MAX('2_evaluate_surveys'!$D17:$AE17)-MIN('2_evaluate_surveys'!$D17:$AE17))=0,0,(('2_evaluate_surveys'!L17-MIN('2_evaluate_surveys'!$D17:$AE17))/(MAX('2_evaluate_surveys'!$D17:$AE17)-MIN('2_evaluate_surveys'!$D17:$AE17))))</f>
        <v>0</v>
      </c>
      <c r="M14" s="72">
        <f>IF((MAX('2_evaluate_surveys'!$D17:$AE17)-MIN('2_evaluate_surveys'!$D17:$AE17))=0,0,(('2_evaluate_surveys'!M17-MIN('2_evaluate_surveys'!$D17:$AE17))/(MAX('2_evaluate_surveys'!$D17:$AE17)-MIN('2_evaluate_surveys'!$D17:$AE17))))</f>
        <v>0</v>
      </c>
      <c r="N14" s="72">
        <f>IF((MAX('2_evaluate_surveys'!$D17:$AE17)-MIN('2_evaluate_surveys'!$D17:$AE17))=0,0,(('2_evaluate_surveys'!N17-MIN('2_evaluate_surveys'!$D17:$AE17))/(MAX('2_evaluate_surveys'!$D17:$AE17)-MIN('2_evaluate_surveys'!$D17:$AE17))))</f>
        <v>0</v>
      </c>
      <c r="O14" s="72">
        <f>IF((MAX('2_evaluate_surveys'!$D17:$AE17)-MIN('2_evaluate_surveys'!$D17:$AE17))=0,0,(('2_evaluate_surveys'!O17-MIN('2_evaluate_surveys'!$D17:$AE17))/(MAX('2_evaluate_surveys'!$D17:$AE17)-MIN('2_evaluate_surveys'!$D17:$AE17))))</f>
        <v>0</v>
      </c>
      <c r="P14" s="72">
        <f>IF((MAX('2_evaluate_surveys'!$D17:$AE17)-MIN('2_evaluate_surveys'!$D17:$AE17))=0,0,(('2_evaluate_surveys'!P17-MIN('2_evaluate_surveys'!$D17:$AE17))/(MAX('2_evaluate_surveys'!$D17:$AE17)-MIN('2_evaluate_surveys'!$D17:$AE17))))</f>
        <v>0</v>
      </c>
      <c r="Q14" s="72">
        <f>IF((MAX('2_evaluate_surveys'!$D17:$AE17)-MIN('2_evaluate_surveys'!$D17:$AE17))=0,0,(('2_evaluate_surveys'!Q17-MIN('2_evaluate_surveys'!$D17:$AE17))/(MAX('2_evaluate_surveys'!$D17:$AE17)-MIN('2_evaluate_surveys'!$D17:$AE17))))</f>
        <v>0</v>
      </c>
      <c r="R14" s="72">
        <f>IF((MAX('2_evaluate_surveys'!$D17:$AE17)-MIN('2_evaluate_surveys'!$D17:$AE17))=0,0,(('2_evaluate_surveys'!R17-MIN('2_evaluate_surveys'!$D17:$AE17))/(MAX('2_evaluate_surveys'!$D17:$AE17)-MIN('2_evaluate_surveys'!$D17:$AE17))))</f>
        <v>0</v>
      </c>
      <c r="S14" s="72">
        <f>IF((MAX('2_evaluate_surveys'!$D17:$AE17)-MIN('2_evaluate_surveys'!$D17:$AE17))=0,0,(('2_evaluate_surveys'!S17-MIN('2_evaluate_surveys'!$D17:$AE17))/(MAX('2_evaluate_surveys'!$D17:$AE17)-MIN('2_evaluate_surveys'!$D17:$AE17))))</f>
        <v>0</v>
      </c>
      <c r="T14" s="72">
        <f>IF((MAX('2_evaluate_surveys'!$D17:$AE17)-MIN('2_evaluate_surveys'!$D17:$AE17))=0,0,(('2_evaluate_surveys'!T17-MIN('2_evaluate_surveys'!$D17:$AE17))/(MAX('2_evaluate_surveys'!$D17:$AE17)-MIN('2_evaluate_surveys'!$D17:$AE17))))</f>
        <v>0</v>
      </c>
      <c r="U14" s="72">
        <f>IF((MAX('2_evaluate_surveys'!$D17:$AE17)-MIN('2_evaluate_surveys'!$D17:$AE17))=0,0,(('2_evaluate_surveys'!U17-MIN('2_evaluate_surveys'!$D17:$AE17))/(MAX('2_evaluate_surveys'!$D17:$AE17)-MIN('2_evaluate_surveys'!$D17:$AE17))))</f>
        <v>0</v>
      </c>
      <c r="V14" s="72">
        <f>IF((MAX('2_evaluate_surveys'!$D17:$AE17)-MIN('2_evaluate_surveys'!$D17:$AE17))=0,0,(('2_evaluate_surveys'!V17-MIN('2_evaluate_surveys'!$D17:$AE17))/(MAX('2_evaluate_surveys'!$D17:$AE17)-MIN('2_evaluate_surveys'!$D17:$AE17))))</f>
        <v>0</v>
      </c>
      <c r="W14" s="72">
        <f>IF((MAX('2_evaluate_surveys'!$D17:$AE17)-MIN('2_evaluate_surveys'!$D17:$AE17))=0,0,(('2_evaluate_surveys'!W17-MIN('2_evaluate_surveys'!$D17:$AE17))/(MAX('2_evaluate_surveys'!$D17:$AE17)-MIN('2_evaluate_surveys'!$D17:$AE17))))</f>
        <v>0</v>
      </c>
      <c r="X14" s="72">
        <f>IF((MAX('2_evaluate_surveys'!$D17:$AE17)-MIN('2_evaluate_surveys'!$D17:$AE17))=0,0,(('2_evaluate_surveys'!X17-MIN('2_evaluate_surveys'!$D17:$AE17))/(MAX('2_evaluate_surveys'!$D17:$AE17)-MIN('2_evaluate_surveys'!$D17:$AE17))))</f>
        <v>0</v>
      </c>
      <c r="Y14" s="72">
        <f>IF((MAX('2_evaluate_surveys'!$D17:$AE17)-MIN('2_evaluate_surveys'!$D17:$AE17))=0,0,(('2_evaluate_surveys'!Y17-MIN('2_evaluate_surveys'!$D17:$AE17))/(MAX('2_evaluate_surveys'!$D17:$AE17)-MIN('2_evaluate_surveys'!$D17:$AE17))))</f>
        <v>0</v>
      </c>
      <c r="Z14" s="72">
        <f>IF((MAX('2_evaluate_surveys'!$D17:$AE17)-MIN('2_evaluate_surveys'!$D17:$AE17))=0,0,(('2_evaluate_surveys'!Z17-MIN('2_evaluate_surveys'!$D17:$AE17))/(MAX('2_evaluate_surveys'!$D17:$AE17)-MIN('2_evaluate_surveys'!$D17:$AE17))))</f>
        <v>0</v>
      </c>
      <c r="AA14" s="72">
        <f>IF((MAX('2_evaluate_surveys'!$D17:$AE17)-MIN('2_evaluate_surveys'!$D17:$AE17))=0,0,(('2_evaluate_surveys'!AA17-MIN('2_evaluate_surveys'!$D17:$AE17))/(MAX('2_evaluate_surveys'!$D17:$AE17)-MIN('2_evaluate_surveys'!$D17:$AE17))))</f>
        <v>0</v>
      </c>
      <c r="AB14" s="72">
        <f>IF((MAX('2_evaluate_surveys'!$D17:$AE17)-MIN('2_evaluate_surveys'!$D17:$AE17))=0,0,(('2_evaluate_surveys'!AB17-MIN('2_evaluate_surveys'!$D17:$AE17))/(MAX('2_evaluate_surveys'!$D17:$AE17)-MIN('2_evaluate_surveys'!$D17:$AE17))))</f>
        <v>0</v>
      </c>
      <c r="AC14" s="72">
        <f>IF((MAX('2_evaluate_surveys'!$D17:$AE17)-MIN('2_evaluate_surveys'!$D17:$AE17))=0,0,(('2_evaluate_surveys'!AC17-MIN('2_evaluate_surveys'!$D17:$AE17))/(MAX('2_evaluate_surveys'!$D17:$AE17)-MIN('2_evaluate_surveys'!$D17:$AE17))))</f>
        <v>0</v>
      </c>
      <c r="AD14" s="72">
        <f>IF((MAX('2_evaluate_surveys'!$D17:$AE17)-MIN('2_evaluate_surveys'!$D17:$AE17))=0,0,(('2_evaluate_surveys'!AD17-MIN('2_evaluate_surveys'!$D17:$AE17))/(MAX('2_evaluate_surveys'!$D17:$AE17)-MIN('2_evaluate_surveys'!$D17:$AE17))))</f>
        <v>0</v>
      </c>
      <c r="AE14" s="72">
        <f>IF((MAX('2_evaluate_surveys'!$D17:$AE17)-MIN('2_evaluate_surveys'!$D17:$AE17))=0,0,(('2_evaluate_surveys'!AE17-MIN('2_evaluate_surveys'!$D17:$AE17))/(MAX('2_evaluate_surveys'!$D17:$AE17)-MIN('2_evaluate_surveys'!$D17:$AE17))))</f>
        <v>0</v>
      </c>
      <c r="AF14" s="72">
        <f>IF((MAX('2_evaluate_surveys'!$D17:$AE17)-MIN('2_evaluate_surveys'!$D17:$AE17))=0,0,(('2_evaluate_surveys'!AF17-MIN('2_evaluate_surveys'!$D17:$AE17))/(MAX('2_evaluate_surveys'!$D17:$AE17)-MIN('2_evaluate_surveys'!$D17:$AE17))))</f>
        <v>0</v>
      </c>
      <c r="AG14" s="72">
        <f>IF((MAX('2_evaluate_surveys'!$D17:$AE17)-MIN('2_evaluate_surveys'!$D17:$AE17))=0,0,(('2_evaluate_surveys'!AG17-MIN('2_evaluate_surveys'!$D17:$AE17))/(MAX('2_evaluate_surveys'!$D17:$AE17)-MIN('2_evaluate_surveys'!$D17:$AE17))))</f>
        <v>0</v>
      </c>
      <c r="AH14" s="72">
        <f>IF((MAX('2_evaluate_surveys'!$D17:$AE17)-MIN('2_evaluate_surveys'!$D17:$AE17))=0,0,(('2_evaluate_surveys'!AH17-MIN('2_evaluate_surveys'!$D17:$AE17))/(MAX('2_evaluate_surveys'!$D17:$AE17)-MIN('2_evaluate_surveys'!$D17:$AE17))))</f>
        <v>0</v>
      </c>
    </row>
    <row r="15" spans="1:34" x14ac:dyDescent="0.35">
      <c r="A15" s="139">
        <v>10</v>
      </c>
      <c r="B15" s="137" t="s">
        <v>33</v>
      </c>
      <c r="C15" s="141" t="s">
        <v>97</v>
      </c>
      <c r="D15" s="142">
        <f>IF((MAX('2_evaluate_surveys'!$D18:$AE18)-MIN('2_evaluate_surveys'!$D18:$AE18))=0,0,(('2_evaluate_surveys'!D18-MIN('2_evaluate_surveys'!$D18:$AE18))/(MAX('2_evaluate_surveys'!$D18:$AE18)-MIN('2_evaluate_surveys'!$D18:$AE18))))</f>
        <v>0.33333333333333331</v>
      </c>
      <c r="E15" s="142">
        <f>IF((MAX('2_evaluate_surveys'!$D18:$AE18)-MIN('2_evaluate_surveys'!$D18:$AE18))=0,0,(('2_evaluate_surveys'!E18-MIN('2_evaluate_surveys'!$D18:$AE18))/(MAX('2_evaluate_surveys'!$D18:$AE18)-MIN('2_evaluate_surveys'!$D18:$AE18))))</f>
        <v>1</v>
      </c>
      <c r="F15" s="147">
        <f>IF((MAX('2_evaluate_surveys'!$D18:$AE18)-MIN('2_evaluate_surveys'!$D18:$AE18))=0,0,(('2_evaluate_surveys'!F18-MIN('2_evaluate_surveys'!$D18:$AE18))/(MAX('2_evaluate_surveys'!$D18:$AE18)-MIN('2_evaluate_surveys'!$D18:$AE18))))</f>
        <v>0.33333333333333331</v>
      </c>
      <c r="G15" s="72">
        <f>IF((MAX('2_evaluate_surveys'!$D18:$AE18)-MIN('2_evaluate_surveys'!$D18:$AE18))=0,0,(('2_evaluate_surveys'!G18-MIN('2_evaluate_surveys'!$D18:$AE18))/(MAX('2_evaluate_surveys'!$D18:$AE18)-MIN('2_evaluate_surveys'!$D18:$AE18))))</f>
        <v>0</v>
      </c>
      <c r="H15" s="72">
        <f>IF((MAX('2_evaluate_surveys'!$D18:$AE18)-MIN('2_evaluate_surveys'!$D18:$AE18))=0,0,(('2_evaluate_surveys'!H18-MIN('2_evaluate_surveys'!$D18:$AE18))/(MAX('2_evaluate_surveys'!$D18:$AE18)-MIN('2_evaluate_surveys'!$D18:$AE18))))</f>
        <v>0</v>
      </c>
      <c r="I15" s="72">
        <f>IF((MAX('2_evaluate_surveys'!$D18:$AE18)-MIN('2_evaluate_surveys'!$D18:$AE18))=0,0,(('2_evaluate_surveys'!I18-MIN('2_evaluate_surveys'!$D18:$AE18))/(MAX('2_evaluate_surveys'!$D18:$AE18)-MIN('2_evaluate_surveys'!$D18:$AE18))))</f>
        <v>0</v>
      </c>
      <c r="J15" s="72">
        <f>IF((MAX('2_evaluate_surveys'!$D18:$AE18)-MIN('2_evaluate_surveys'!$D18:$AE18))=0,0,(('2_evaluate_surveys'!J18-MIN('2_evaluate_surveys'!$D18:$AE18))/(MAX('2_evaluate_surveys'!$D18:$AE18)-MIN('2_evaluate_surveys'!$D18:$AE18))))</f>
        <v>0</v>
      </c>
      <c r="K15" s="72">
        <f>IF((MAX('2_evaluate_surveys'!$D18:$AE18)-MIN('2_evaluate_surveys'!$D18:$AE18))=0,0,(('2_evaluate_surveys'!K18-MIN('2_evaluate_surveys'!$D18:$AE18))/(MAX('2_evaluate_surveys'!$D18:$AE18)-MIN('2_evaluate_surveys'!$D18:$AE18))))</f>
        <v>0</v>
      </c>
      <c r="L15" s="72">
        <f>IF((MAX('2_evaluate_surveys'!$D18:$AE18)-MIN('2_evaluate_surveys'!$D18:$AE18))=0,0,(('2_evaluate_surveys'!L18-MIN('2_evaluate_surveys'!$D18:$AE18))/(MAX('2_evaluate_surveys'!$D18:$AE18)-MIN('2_evaluate_surveys'!$D18:$AE18))))</f>
        <v>0.33333333333333331</v>
      </c>
      <c r="M15" s="72">
        <f>IF((MAX('2_evaluate_surveys'!$D18:$AE18)-MIN('2_evaluate_surveys'!$D18:$AE18))=0,0,(('2_evaluate_surveys'!M18-MIN('2_evaluate_surveys'!$D18:$AE18))/(MAX('2_evaluate_surveys'!$D18:$AE18)-MIN('2_evaluate_surveys'!$D18:$AE18))))</f>
        <v>1</v>
      </c>
      <c r="N15" s="72">
        <f>IF((MAX('2_evaluate_surveys'!$D18:$AE18)-MIN('2_evaluate_surveys'!$D18:$AE18))=0,0,(('2_evaluate_surveys'!N18-MIN('2_evaluate_surveys'!$D18:$AE18))/(MAX('2_evaluate_surveys'!$D18:$AE18)-MIN('2_evaluate_surveys'!$D18:$AE18))))</f>
        <v>1</v>
      </c>
      <c r="O15" s="72">
        <f>IF((MAX('2_evaluate_surveys'!$D18:$AE18)-MIN('2_evaluate_surveys'!$D18:$AE18))=0,0,(('2_evaluate_surveys'!O18-MIN('2_evaluate_surveys'!$D18:$AE18))/(MAX('2_evaluate_surveys'!$D18:$AE18)-MIN('2_evaluate_surveys'!$D18:$AE18))))</f>
        <v>0.33333333333333331</v>
      </c>
      <c r="P15" s="72">
        <f>IF((MAX('2_evaluate_surveys'!$D18:$AE18)-MIN('2_evaluate_surveys'!$D18:$AE18))=0,0,(('2_evaluate_surveys'!P18-MIN('2_evaluate_surveys'!$D18:$AE18))/(MAX('2_evaluate_surveys'!$D18:$AE18)-MIN('2_evaluate_surveys'!$D18:$AE18))))</f>
        <v>0.33333333333333331</v>
      </c>
      <c r="Q15" s="72">
        <f>IF((MAX('2_evaluate_surveys'!$D18:$AE18)-MIN('2_evaluate_surveys'!$D18:$AE18))=0,0,(('2_evaluate_surveys'!Q18-MIN('2_evaluate_surveys'!$D18:$AE18))/(MAX('2_evaluate_surveys'!$D18:$AE18)-MIN('2_evaluate_surveys'!$D18:$AE18))))</f>
        <v>0.33333333333333331</v>
      </c>
      <c r="R15" s="72">
        <f>IF((MAX('2_evaluate_surveys'!$D18:$AE18)-MIN('2_evaluate_surveys'!$D18:$AE18))=0,0,(('2_evaluate_surveys'!R18-MIN('2_evaluate_surveys'!$D18:$AE18))/(MAX('2_evaluate_surveys'!$D18:$AE18)-MIN('2_evaluate_surveys'!$D18:$AE18))))</f>
        <v>0.33333333333333331</v>
      </c>
      <c r="S15" s="72">
        <f>IF((MAX('2_evaluate_surveys'!$D18:$AE18)-MIN('2_evaluate_surveys'!$D18:$AE18))=0,0,(('2_evaluate_surveys'!S18-MIN('2_evaluate_surveys'!$D18:$AE18))/(MAX('2_evaluate_surveys'!$D18:$AE18)-MIN('2_evaluate_surveys'!$D18:$AE18))))</f>
        <v>0.33333333333333331</v>
      </c>
      <c r="T15" s="72">
        <f>IF((MAX('2_evaluate_surveys'!$D18:$AE18)-MIN('2_evaluate_surveys'!$D18:$AE18))=0,0,(('2_evaluate_surveys'!T18-MIN('2_evaluate_surveys'!$D18:$AE18))/(MAX('2_evaluate_surveys'!$D18:$AE18)-MIN('2_evaluate_surveys'!$D18:$AE18))))</f>
        <v>0.33333333333333331</v>
      </c>
      <c r="U15" s="72">
        <f>IF((MAX('2_evaluate_surveys'!$D18:$AE18)-MIN('2_evaluate_surveys'!$D18:$AE18))=0,0,(('2_evaluate_surveys'!U18-MIN('2_evaluate_surveys'!$D18:$AE18))/(MAX('2_evaluate_surveys'!$D18:$AE18)-MIN('2_evaluate_surveys'!$D18:$AE18))))</f>
        <v>0.33333333333333331</v>
      </c>
      <c r="V15" s="72">
        <f>IF((MAX('2_evaluate_surveys'!$D18:$AE18)-MIN('2_evaluate_surveys'!$D18:$AE18))=0,0,(('2_evaluate_surveys'!V18-MIN('2_evaluate_surveys'!$D18:$AE18))/(MAX('2_evaluate_surveys'!$D18:$AE18)-MIN('2_evaluate_surveys'!$D18:$AE18))))</f>
        <v>0.33333333333333331</v>
      </c>
      <c r="W15" s="72">
        <f>IF((MAX('2_evaluate_surveys'!$D18:$AE18)-MIN('2_evaluate_surveys'!$D18:$AE18))=0,0,(('2_evaluate_surveys'!W18-MIN('2_evaluate_surveys'!$D18:$AE18))/(MAX('2_evaluate_surveys'!$D18:$AE18)-MIN('2_evaluate_surveys'!$D18:$AE18))))</f>
        <v>0.33333333333333331</v>
      </c>
      <c r="X15" s="72">
        <f>IF((MAX('2_evaluate_surveys'!$D18:$AE18)-MIN('2_evaluate_surveys'!$D18:$AE18))=0,0,(('2_evaluate_surveys'!X18-MIN('2_evaluate_surveys'!$D18:$AE18))/(MAX('2_evaluate_surveys'!$D18:$AE18)-MIN('2_evaluate_surveys'!$D18:$AE18))))</f>
        <v>0.66666666666666663</v>
      </c>
      <c r="Y15" s="72">
        <f>IF((MAX('2_evaluate_surveys'!$D18:$AE18)-MIN('2_evaluate_surveys'!$D18:$AE18))=0,0,(('2_evaluate_surveys'!Y18-MIN('2_evaluate_surveys'!$D18:$AE18))/(MAX('2_evaluate_surveys'!$D18:$AE18)-MIN('2_evaluate_surveys'!$D18:$AE18))))</f>
        <v>0.33333333333333331</v>
      </c>
      <c r="Z15" s="72">
        <f>IF((MAX('2_evaluate_surveys'!$D18:$AE18)-MIN('2_evaluate_surveys'!$D18:$AE18))=0,0,(('2_evaluate_surveys'!Z18-MIN('2_evaluate_surveys'!$D18:$AE18))/(MAX('2_evaluate_surveys'!$D18:$AE18)-MIN('2_evaluate_surveys'!$D18:$AE18))))</f>
        <v>0.33333333333333331</v>
      </c>
      <c r="AA15" s="72">
        <f>IF((MAX('2_evaluate_surveys'!$D18:$AE18)-MIN('2_evaluate_surveys'!$D18:$AE18))=0,0,(('2_evaluate_surveys'!AA18-MIN('2_evaluate_surveys'!$D18:$AE18))/(MAX('2_evaluate_surveys'!$D18:$AE18)-MIN('2_evaluate_surveys'!$D18:$AE18))))</f>
        <v>0.33333333333333331</v>
      </c>
      <c r="AB15" s="72">
        <f>IF((MAX('2_evaluate_surveys'!$D18:$AE18)-MIN('2_evaluate_surveys'!$D18:$AE18))=0,0,(('2_evaluate_surveys'!AB18-MIN('2_evaluate_surveys'!$D18:$AE18))/(MAX('2_evaluate_surveys'!$D18:$AE18)-MIN('2_evaluate_surveys'!$D18:$AE18))))</f>
        <v>1</v>
      </c>
      <c r="AC15" s="72">
        <f>IF((MAX('2_evaluate_surveys'!$D18:$AE18)-MIN('2_evaluate_surveys'!$D18:$AE18))=0,0,(('2_evaluate_surveys'!AC18-MIN('2_evaluate_surveys'!$D18:$AE18))/(MAX('2_evaluate_surveys'!$D18:$AE18)-MIN('2_evaluate_surveys'!$D18:$AE18))))</f>
        <v>0.33333333333333331</v>
      </c>
      <c r="AD15" s="72">
        <f>IF((MAX('2_evaluate_surveys'!$D18:$AE18)-MIN('2_evaluate_surveys'!$D18:$AE18))=0,0,(('2_evaluate_surveys'!AD18-MIN('2_evaluate_surveys'!$D18:$AE18))/(MAX('2_evaluate_surveys'!$D18:$AE18)-MIN('2_evaluate_surveys'!$D18:$AE18))))</f>
        <v>1</v>
      </c>
      <c r="AE15" s="72">
        <f>IF((MAX('2_evaluate_surveys'!$D18:$AE18)-MIN('2_evaluate_surveys'!$D18:$AE18))=0,0,(('2_evaluate_surveys'!AE18-MIN('2_evaluate_surveys'!$D18:$AE18))/(MAX('2_evaluate_surveys'!$D18:$AE18)-MIN('2_evaluate_surveys'!$D18:$AE18))))</f>
        <v>1</v>
      </c>
      <c r="AF15" s="72">
        <f>IF((MAX('2_evaluate_surveys'!$D18:$AE18)-MIN('2_evaluate_surveys'!$D18:$AE18))=0,0,(('2_evaluate_surveys'!AF18-MIN('2_evaluate_surveys'!$D18:$AE18))/(MAX('2_evaluate_surveys'!$D18:$AE18)-MIN('2_evaluate_surveys'!$D18:$AE18))))</f>
        <v>1</v>
      </c>
      <c r="AG15" s="72">
        <f>IF((MAX('2_evaluate_surveys'!$D18:$AE18)-MIN('2_evaluate_surveys'!$D18:$AE18))=0,0,(('2_evaluate_surveys'!AG18-MIN('2_evaluate_surveys'!$D18:$AE18))/(MAX('2_evaluate_surveys'!$D18:$AE18)-MIN('2_evaluate_surveys'!$D18:$AE18))))</f>
        <v>0</v>
      </c>
      <c r="AH15" s="72">
        <f>IF((MAX('2_evaluate_surveys'!$D18:$AE18)-MIN('2_evaluate_surveys'!$D18:$AE18))=0,0,(('2_evaluate_surveys'!AH18-MIN('2_evaluate_surveys'!$D18:$AE18))/(MAX('2_evaluate_surveys'!$D18:$AE18)-MIN('2_evaluate_surveys'!$D18:$AE18))))</f>
        <v>0</v>
      </c>
    </row>
    <row r="16" spans="1:34" x14ac:dyDescent="0.35">
      <c r="A16" s="139">
        <v>11</v>
      </c>
      <c r="B16" s="137" t="s">
        <v>34</v>
      </c>
      <c r="C16" s="141" t="s">
        <v>97</v>
      </c>
      <c r="D16" s="142">
        <f>IF((MAX('2_evaluate_surveys'!$D19:$AE19)-MIN('2_evaluate_surveys'!$D19:$AE19))=0,0,(('2_evaluate_surveys'!D19-MIN('2_evaluate_surveys'!$D19:$AE19))/(MAX('2_evaluate_surveys'!$D19:$AE19)-MIN('2_evaluate_surveys'!$D19:$AE19))))</f>
        <v>0</v>
      </c>
      <c r="E16" s="142">
        <f>IF((MAX('2_evaluate_surveys'!$D19:$AE19)-MIN('2_evaluate_surveys'!$D19:$AE19))=0,0,(('2_evaluate_surveys'!E19-MIN('2_evaluate_surveys'!$D19:$AE19))/(MAX('2_evaluate_surveys'!$D19:$AE19)-MIN('2_evaluate_surveys'!$D19:$AE19))))</f>
        <v>0</v>
      </c>
      <c r="F16" s="147">
        <f>IF((MAX('2_evaluate_surveys'!$D19:$AE19)-MIN('2_evaluate_surveys'!$D19:$AE19))=0,0,(('2_evaluate_surveys'!F19-MIN('2_evaluate_surveys'!$D19:$AE19))/(MAX('2_evaluate_surveys'!$D19:$AE19)-MIN('2_evaluate_surveys'!$D19:$AE19))))</f>
        <v>0.33333333333333331</v>
      </c>
      <c r="G16" s="72">
        <f>IF((MAX('2_evaluate_surveys'!$D19:$AE19)-MIN('2_evaluate_surveys'!$D19:$AE19))=0,0,(('2_evaluate_surveys'!G19-MIN('2_evaluate_surveys'!$D19:$AE19))/(MAX('2_evaluate_surveys'!$D19:$AE19)-MIN('2_evaluate_surveys'!$D19:$AE19))))</f>
        <v>0</v>
      </c>
      <c r="H16" s="72">
        <f>IF((MAX('2_evaluate_surveys'!$D19:$AE19)-MIN('2_evaluate_surveys'!$D19:$AE19))=0,0,(('2_evaluate_surveys'!H19-MIN('2_evaluate_surveys'!$D19:$AE19))/(MAX('2_evaluate_surveys'!$D19:$AE19)-MIN('2_evaluate_surveys'!$D19:$AE19))))</f>
        <v>0</v>
      </c>
      <c r="I16" s="72">
        <f>IF((MAX('2_evaluate_surveys'!$D19:$AE19)-MIN('2_evaluate_surveys'!$D19:$AE19))=0,0,(('2_evaluate_surveys'!I19-MIN('2_evaluate_surveys'!$D19:$AE19))/(MAX('2_evaluate_surveys'!$D19:$AE19)-MIN('2_evaluate_surveys'!$D19:$AE19))))</f>
        <v>0</v>
      </c>
      <c r="J16" s="72">
        <f>IF((MAX('2_evaluate_surveys'!$D19:$AE19)-MIN('2_evaluate_surveys'!$D19:$AE19))=0,0,(('2_evaluate_surveys'!J19-MIN('2_evaluate_surveys'!$D19:$AE19))/(MAX('2_evaluate_surveys'!$D19:$AE19)-MIN('2_evaluate_surveys'!$D19:$AE19))))</f>
        <v>0</v>
      </c>
      <c r="K16" s="72">
        <f>IF((MAX('2_evaluate_surveys'!$D19:$AE19)-MIN('2_evaluate_surveys'!$D19:$AE19))=0,0,(('2_evaluate_surveys'!K19-MIN('2_evaluate_surveys'!$D19:$AE19))/(MAX('2_evaluate_surveys'!$D19:$AE19)-MIN('2_evaluate_surveys'!$D19:$AE19))))</f>
        <v>0</v>
      </c>
      <c r="L16" s="72">
        <f>IF((MAX('2_evaluate_surveys'!$D19:$AE19)-MIN('2_evaluate_surveys'!$D19:$AE19))=0,0,(('2_evaluate_surveys'!L19-MIN('2_evaluate_surveys'!$D19:$AE19))/(MAX('2_evaluate_surveys'!$D19:$AE19)-MIN('2_evaluate_surveys'!$D19:$AE19))))</f>
        <v>0</v>
      </c>
      <c r="M16" s="72">
        <f>IF((MAX('2_evaluate_surveys'!$D19:$AE19)-MIN('2_evaluate_surveys'!$D19:$AE19))=0,0,(('2_evaluate_surveys'!M19-MIN('2_evaluate_surveys'!$D19:$AE19))/(MAX('2_evaluate_surveys'!$D19:$AE19)-MIN('2_evaluate_surveys'!$D19:$AE19))))</f>
        <v>0</v>
      </c>
      <c r="N16" s="72">
        <f>IF((MAX('2_evaluate_surveys'!$D19:$AE19)-MIN('2_evaluate_surveys'!$D19:$AE19))=0,0,(('2_evaluate_surveys'!N19-MIN('2_evaluate_surveys'!$D19:$AE19))/(MAX('2_evaluate_surveys'!$D19:$AE19)-MIN('2_evaluate_surveys'!$D19:$AE19))))</f>
        <v>0.33333333333333331</v>
      </c>
      <c r="O16" s="72">
        <f>IF((MAX('2_evaluate_surveys'!$D19:$AE19)-MIN('2_evaluate_surveys'!$D19:$AE19))=0,0,(('2_evaluate_surveys'!O19-MIN('2_evaluate_surveys'!$D19:$AE19))/(MAX('2_evaluate_surveys'!$D19:$AE19)-MIN('2_evaluate_surveys'!$D19:$AE19))))</f>
        <v>0.33333333333333331</v>
      </c>
      <c r="P16" s="72">
        <f>IF((MAX('2_evaluate_surveys'!$D19:$AE19)-MIN('2_evaluate_surveys'!$D19:$AE19))=0,0,(('2_evaluate_surveys'!P19-MIN('2_evaluate_surveys'!$D19:$AE19))/(MAX('2_evaluate_surveys'!$D19:$AE19)-MIN('2_evaluate_surveys'!$D19:$AE19))))</f>
        <v>0.33333333333333331</v>
      </c>
      <c r="Q16" s="72">
        <f>IF((MAX('2_evaluate_surveys'!$D19:$AE19)-MIN('2_evaluate_surveys'!$D19:$AE19))=0,0,(('2_evaluate_surveys'!Q19-MIN('2_evaluate_surveys'!$D19:$AE19))/(MAX('2_evaluate_surveys'!$D19:$AE19)-MIN('2_evaluate_surveys'!$D19:$AE19))))</f>
        <v>0</v>
      </c>
      <c r="R16" s="72">
        <f>IF((MAX('2_evaluate_surveys'!$D19:$AE19)-MIN('2_evaluate_surveys'!$D19:$AE19))=0,0,(('2_evaluate_surveys'!R19-MIN('2_evaluate_surveys'!$D19:$AE19))/(MAX('2_evaluate_surveys'!$D19:$AE19)-MIN('2_evaluate_surveys'!$D19:$AE19))))</f>
        <v>0</v>
      </c>
      <c r="S16" s="72">
        <f>IF((MAX('2_evaluate_surveys'!$D19:$AE19)-MIN('2_evaluate_surveys'!$D19:$AE19))=0,0,(('2_evaluate_surveys'!S19-MIN('2_evaluate_surveys'!$D19:$AE19))/(MAX('2_evaluate_surveys'!$D19:$AE19)-MIN('2_evaluate_surveys'!$D19:$AE19))))</f>
        <v>0</v>
      </c>
      <c r="T16" s="72">
        <f>IF((MAX('2_evaluate_surveys'!$D19:$AE19)-MIN('2_evaluate_surveys'!$D19:$AE19))=0,0,(('2_evaluate_surveys'!T19-MIN('2_evaluate_surveys'!$D19:$AE19))/(MAX('2_evaluate_surveys'!$D19:$AE19)-MIN('2_evaluate_surveys'!$D19:$AE19))))</f>
        <v>0</v>
      </c>
      <c r="U16" s="72">
        <f>IF((MAX('2_evaluate_surveys'!$D19:$AE19)-MIN('2_evaluate_surveys'!$D19:$AE19))=0,0,(('2_evaluate_surveys'!U19-MIN('2_evaluate_surveys'!$D19:$AE19))/(MAX('2_evaluate_surveys'!$D19:$AE19)-MIN('2_evaluate_surveys'!$D19:$AE19))))</f>
        <v>0</v>
      </c>
      <c r="V16" s="72">
        <f>IF((MAX('2_evaluate_surveys'!$D19:$AE19)-MIN('2_evaluate_surveys'!$D19:$AE19))=0,0,(('2_evaluate_surveys'!V19-MIN('2_evaluate_surveys'!$D19:$AE19))/(MAX('2_evaluate_surveys'!$D19:$AE19)-MIN('2_evaluate_surveys'!$D19:$AE19))))</f>
        <v>0</v>
      </c>
      <c r="W16" s="72">
        <f>IF((MAX('2_evaluate_surveys'!$D19:$AE19)-MIN('2_evaluate_surveys'!$D19:$AE19))=0,0,(('2_evaluate_surveys'!W19-MIN('2_evaluate_surveys'!$D19:$AE19))/(MAX('2_evaluate_surveys'!$D19:$AE19)-MIN('2_evaluate_surveys'!$D19:$AE19))))</f>
        <v>0</v>
      </c>
      <c r="X16" s="72">
        <f>IF((MAX('2_evaluate_surveys'!$D19:$AE19)-MIN('2_evaluate_surveys'!$D19:$AE19))=0,0,(('2_evaluate_surveys'!X19-MIN('2_evaluate_surveys'!$D19:$AE19))/(MAX('2_evaluate_surveys'!$D19:$AE19)-MIN('2_evaluate_surveys'!$D19:$AE19))))</f>
        <v>0</v>
      </c>
      <c r="Y16" s="72">
        <f>IF((MAX('2_evaluate_surveys'!$D19:$AE19)-MIN('2_evaluate_surveys'!$D19:$AE19))=0,0,(('2_evaluate_surveys'!Y19-MIN('2_evaluate_surveys'!$D19:$AE19))/(MAX('2_evaluate_surveys'!$D19:$AE19)-MIN('2_evaluate_surveys'!$D19:$AE19))))</f>
        <v>0</v>
      </c>
      <c r="Z16" s="72">
        <f>IF((MAX('2_evaluate_surveys'!$D19:$AE19)-MIN('2_evaluate_surveys'!$D19:$AE19))=0,0,(('2_evaluate_surveys'!Z19-MIN('2_evaluate_surveys'!$D19:$AE19))/(MAX('2_evaluate_surveys'!$D19:$AE19)-MIN('2_evaluate_surveys'!$D19:$AE19))))</f>
        <v>0</v>
      </c>
      <c r="AA16" s="72">
        <f>IF((MAX('2_evaluate_surveys'!$D19:$AE19)-MIN('2_evaluate_surveys'!$D19:$AE19))=0,0,(('2_evaluate_surveys'!AA19-MIN('2_evaluate_surveys'!$D19:$AE19))/(MAX('2_evaluate_surveys'!$D19:$AE19)-MIN('2_evaluate_surveys'!$D19:$AE19))))</f>
        <v>0</v>
      </c>
      <c r="AB16" s="72">
        <f>IF((MAX('2_evaluate_surveys'!$D19:$AE19)-MIN('2_evaluate_surveys'!$D19:$AE19))=0,0,(('2_evaluate_surveys'!AB19-MIN('2_evaluate_surveys'!$D19:$AE19))/(MAX('2_evaluate_surveys'!$D19:$AE19)-MIN('2_evaluate_surveys'!$D19:$AE19))))</f>
        <v>0</v>
      </c>
      <c r="AC16" s="72">
        <f>IF((MAX('2_evaluate_surveys'!$D19:$AE19)-MIN('2_evaluate_surveys'!$D19:$AE19))=0,0,(('2_evaluate_surveys'!AC19-MIN('2_evaluate_surveys'!$D19:$AE19))/(MAX('2_evaluate_surveys'!$D19:$AE19)-MIN('2_evaluate_surveys'!$D19:$AE19))))</f>
        <v>0</v>
      </c>
      <c r="AD16" s="72">
        <f>IF((MAX('2_evaluate_surveys'!$D19:$AE19)-MIN('2_evaluate_surveys'!$D19:$AE19))=0,0,(('2_evaluate_surveys'!AD19-MIN('2_evaluate_surveys'!$D19:$AE19))/(MAX('2_evaluate_surveys'!$D19:$AE19)-MIN('2_evaluate_surveys'!$D19:$AE19))))</f>
        <v>1</v>
      </c>
      <c r="AE16" s="72">
        <f>IF((MAX('2_evaluate_surveys'!$D19:$AE19)-MIN('2_evaluate_surveys'!$D19:$AE19))=0,0,(('2_evaluate_surveys'!AE19-MIN('2_evaluate_surveys'!$D19:$AE19))/(MAX('2_evaluate_surveys'!$D19:$AE19)-MIN('2_evaluate_surveys'!$D19:$AE19))))</f>
        <v>1</v>
      </c>
      <c r="AF16" s="72">
        <f>IF((MAX('2_evaluate_surveys'!$D19:$AE19)-MIN('2_evaluate_surveys'!$D19:$AE19))=0,0,(('2_evaluate_surveys'!AF19-MIN('2_evaluate_surveys'!$D19:$AE19))/(MAX('2_evaluate_surveys'!$D19:$AE19)-MIN('2_evaluate_surveys'!$D19:$AE19))))</f>
        <v>0</v>
      </c>
      <c r="AG16" s="72">
        <f>IF((MAX('2_evaluate_surveys'!$D19:$AE19)-MIN('2_evaluate_surveys'!$D19:$AE19))=0,0,(('2_evaluate_surveys'!AG19-MIN('2_evaluate_surveys'!$D19:$AE19))/(MAX('2_evaluate_surveys'!$D19:$AE19)-MIN('2_evaluate_surveys'!$D19:$AE19))))</f>
        <v>0</v>
      </c>
      <c r="AH16" s="72">
        <f>IF((MAX('2_evaluate_surveys'!$D19:$AE19)-MIN('2_evaluate_surveys'!$D19:$AE19))=0,0,(('2_evaluate_surveys'!AH19-MIN('2_evaluate_surveys'!$D19:$AE19))/(MAX('2_evaluate_surveys'!$D19:$AE19)-MIN('2_evaluate_surveys'!$D19:$AE19))))</f>
        <v>0</v>
      </c>
    </row>
    <row r="17" spans="1:35" x14ac:dyDescent="0.35">
      <c r="A17" s="139">
        <v>12</v>
      </c>
      <c r="B17" s="137" t="s">
        <v>36</v>
      </c>
      <c r="C17" s="141" t="s">
        <v>97</v>
      </c>
      <c r="D17" s="142">
        <f>IF((MAX('2_evaluate_surveys'!$D20:$AE20)-MIN('2_evaluate_surveys'!$D20:$AE20))=0,0,(('2_evaluate_surveys'!D20-MIN('2_evaluate_surveys'!$D20:$AE20))/(MAX('2_evaluate_surveys'!$D20:$AE20)-MIN('2_evaluate_surveys'!$D20:$AE20))))</f>
        <v>1</v>
      </c>
      <c r="E17" s="142">
        <f>IF((MAX('2_evaluate_surveys'!$D20:$AE20)-MIN('2_evaluate_surveys'!$D20:$AE20))=0,0,(('2_evaluate_surveys'!E20-MIN('2_evaluate_surveys'!$D20:$AE20))/(MAX('2_evaluate_surveys'!$D20:$AE20)-MIN('2_evaluate_surveys'!$D20:$AE20))))</f>
        <v>1</v>
      </c>
      <c r="F17" s="147">
        <f>IF((MAX('2_evaluate_surveys'!$D20:$AE20)-MIN('2_evaluate_surveys'!$D20:$AE20))=0,0,(('2_evaluate_surveys'!F20-MIN('2_evaluate_surveys'!$D20:$AE20))/(MAX('2_evaluate_surveys'!$D20:$AE20)-MIN('2_evaluate_surveys'!$D20:$AE20))))</f>
        <v>1</v>
      </c>
      <c r="G17" s="72">
        <f>IF((MAX('2_evaluate_surveys'!$D20:$AE20)-MIN('2_evaluate_surveys'!$D20:$AE20))=0,0,(('2_evaluate_surveys'!G20-MIN('2_evaluate_surveys'!$D20:$AE20))/(MAX('2_evaluate_surveys'!$D20:$AE20)-MIN('2_evaluate_surveys'!$D20:$AE20))))</f>
        <v>1</v>
      </c>
      <c r="H17" s="72">
        <f>IF((MAX('2_evaluate_surveys'!$D20:$AE20)-MIN('2_evaluate_surveys'!$D20:$AE20))=0,0,(('2_evaluate_surveys'!H20-MIN('2_evaluate_surveys'!$D20:$AE20))/(MAX('2_evaluate_surveys'!$D20:$AE20)-MIN('2_evaluate_surveys'!$D20:$AE20))))</f>
        <v>0</v>
      </c>
      <c r="I17" s="72">
        <f>IF((MAX('2_evaluate_surveys'!$D20:$AE20)-MIN('2_evaluate_surveys'!$D20:$AE20))=0,0,(('2_evaluate_surveys'!I20-MIN('2_evaluate_surveys'!$D20:$AE20))/(MAX('2_evaluate_surveys'!$D20:$AE20)-MIN('2_evaluate_surveys'!$D20:$AE20))))</f>
        <v>0</v>
      </c>
      <c r="J17" s="72">
        <f>IF((MAX('2_evaluate_surveys'!$D20:$AE20)-MIN('2_evaluate_surveys'!$D20:$AE20))=0,0,(('2_evaluate_surveys'!J20-MIN('2_evaluate_surveys'!$D20:$AE20))/(MAX('2_evaluate_surveys'!$D20:$AE20)-MIN('2_evaluate_surveys'!$D20:$AE20))))</f>
        <v>0.33333333333333331</v>
      </c>
      <c r="K17" s="72">
        <f>IF((MAX('2_evaluate_surveys'!$D20:$AE20)-MIN('2_evaluate_surveys'!$D20:$AE20))=0,0,(('2_evaluate_surveys'!K20-MIN('2_evaluate_surveys'!$D20:$AE20))/(MAX('2_evaluate_surveys'!$D20:$AE20)-MIN('2_evaluate_surveys'!$D20:$AE20))))</f>
        <v>1</v>
      </c>
      <c r="L17" s="72">
        <f>IF((MAX('2_evaluate_surveys'!$D20:$AE20)-MIN('2_evaluate_surveys'!$D20:$AE20))=0,0,(('2_evaluate_surveys'!L20-MIN('2_evaluate_surveys'!$D20:$AE20))/(MAX('2_evaluate_surveys'!$D20:$AE20)-MIN('2_evaluate_surveys'!$D20:$AE20))))</f>
        <v>1</v>
      </c>
      <c r="M17" s="72">
        <f>IF((MAX('2_evaluate_surveys'!$D20:$AE20)-MIN('2_evaluate_surveys'!$D20:$AE20))=0,0,(('2_evaluate_surveys'!M20-MIN('2_evaluate_surveys'!$D20:$AE20))/(MAX('2_evaluate_surveys'!$D20:$AE20)-MIN('2_evaluate_surveys'!$D20:$AE20))))</f>
        <v>1</v>
      </c>
      <c r="N17" s="72">
        <f>IF((MAX('2_evaluate_surveys'!$D20:$AE20)-MIN('2_evaluate_surveys'!$D20:$AE20))=0,0,(('2_evaluate_surveys'!N20-MIN('2_evaluate_surveys'!$D20:$AE20))/(MAX('2_evaluate_surveys'!$D20:$AE20)-MIN('2_evaluate_surveys'!$D20:$AE20))))</f>
        <v>1</v>
      </c>
      <c r="O17" s="72">
        <f>IF((MAX('2_evaluate_surveys'!$D20:$AE20)-MIN('2_evaluate_surveys'!$D20:$AE20))=0,0,(('2_evaluate_surveys'!O20-MIN('2_evaluate_surveys'!$D20:$AE20))/(MAX('2_evaluate_surveys'!$D20:$AE20)-MIN('2_evaluate_surveys'!$D20:$AE20))))</f>
        <v>1</v>
      </c>
      <c r="P17" s="72">
        <f>IF((MAX('2_evaluate_surveys'!$D20:$AE20)-MIN('2_evaluate_surveys'!$D20:$AE20))=0,0,(('2_evaluate_surveys'!P20-MIN('2_evaluate_surveys'!$D20:$AE20))/(MAX('2_evaluate_surveys'!$D20:$AE20)-MIN('2_evaluate_surveys'!$D20:$AE20))))</f>
        <v>1</v>
      </c>
      <c r="Q17" s="72">
        <f>IF((MAX('2_evaluate_surveys'!$D20:$AE20)-MIN('2_evaluate_surveys'!$D20:$AE20))=0,0,(('2_evaluate_surveys'!Q20-MIN('2_evaluate_surveys'!$D20:$AE20))/(MAX('2_evaluate_surveys'!$D20:$AE20)-MIN('2_evaluate_surveys'!$D20:$AE20))))</f>
        <v>0</v>
      </c>
      <c r="R17" s="72">
        <f>IF((MAX('2_evaluate_surveys'!$D20:$AE20)-MIN('2_evaluate_surveys'!$D20:$AE20))=0,0,(('2_evaluate_surveys'!R20-MIN('2_evaluate_surveys'!$D20:$AE20))/(MAX('2_evaluate_surveys'!$D20:$AE20)-MIN('2_evaluate_surveys'!$D20:$AE20))))</f>
        <v>0.33333333333333331</v>
      </c>
      <c r="S17" s="72">
        <f>IF((MAX('2_evaluate_surveys'!$D20:$AE20)-MIN('2_evaluate_surveys'!$D20:$AE20))=0,0,(('2_evaluate_surveys'!S20-MIN('2_evaluate_surveys'!$D20:$AE20))/(MAX('2_evaluate_surveys'!$D20:$AE20)-MIN('2_evaluate_surveys'!$D20:$AE20))))</f>
        <v>1</v>
      </c>
      <c r="T17" s="72">
        <f>IF((MAX('2_evaluate_surveys'!$D20:$AE20)-MIN('2_evaluate_surveys'!$D20:$AE20))=0,0,(('2_evaluate_surveys'!T20-MIN('2_evaluate_surveys'!$D20:$AE20))/(MAX('2_evaluate_surveys'!$D20:$AE20)-MIN('2_evaluate_surveys'!$D20:$AE20))))</f>
        <v>1</v>
      </c>
      <c r="U17" s="72">
        <f>IF((MAX('2_evaluate_surveys'!$D20:$AE20)-MIN('2_evaluate_surveys'!$D20:$AE20))=0,0,(('2_evaluate_surveys'!U20-MIN('2_evaluate_surveys'!$D20:$AE20))/(MAX('2_evaluate_surveys'!$D20:$AE20)-MIN('2_evaluate_surveys'!$D20:$AE20))))</f>
        <v>0</v>
      </c>
      <c r="V17" s="72">
        <f>IF((MAX('2_evaluate_surveys'!$D20:$AE20)-MIN('2_evaluate_surveys'!$D20:$AE20))=0,0,(('2_evaluate_surveys'!V20-MIN('2_evaluate_surveys'!$D20:$AE20))/(MAX('2_evaluate_surveys'!$D20:$AE20)-MIN('2_evaluate_surveys'!$D20:$AE20))))</f>
        <v>0</v>
      </c>
      <c r="W17" s="72">
        <f>IF((MAX('2_evaluate_surveys'!$D20:$AE20)-MIN('2_evaluate_surveys'!$D20:$AE20))=0,0,(('2_evaluate_surveys'!W20-MIN('2_evaluate_surveys'!$D20:$AE20))/(MAX('2_evaluate_surveys'!$D20:$AE20)-MIN('2_evaluate_surveys'!$D20:$AE20))))</f>
        <v>0</v>
      </c>
      <c r="X17" s="72">
        <f>IF((MAX('2_evaluate_surveys'!$D20:$AE20)-MIN('2_evaluate_surveys'!$D20:$AE20))=0,0,(('2_evaluate_surveys'!X20-MIN('2_evaluate_surveys'!$D20:$AE20))/(MAX('2_evaluate_surveys'!$D20:$AE20)-MIN('2_evaluate_surveys'!$D20:$AE20))))</f>
        <v>1</v>
      </c>
      <c r="Y17" s="72">
        <f>IF((MAX('2_evaluate_surveys'!$D20:$AE20)-MIN('2_evaluate_surveys'!$D20:$AE20))=0,0,(('2_evaluate_surveys'!Y20-MIN('2_evaluate_surveys'!$D20:$AE20))/(MAX('2_evaluate_surveys'!$D20:$AE20)-MIN('2_evaluate_surveys'!$D20:$AE20))))</f>
        <v>1</v>
      </c>
      <c r="Z17" s="72">
        <f>IF((MAX('2_evaluate_surveys'!$D20:$AE20)-MIN('2_evaluate_surveys'!$D20:$AE20))=0,0,(('2_evaluate_surveys'!Z20-MIN('2_evaluate_surveys'!$D20:$AE20))/(MAX('2_evaluate_surveys'!$D20:$AE20)-MIN('2_evaluate_surveys'!$D20:$AE20))))</f>
        <v>1</v>
      </c>
      <c r="AA17" s="72">
        <f>IF((MAX('2_evaluate_surveys'!$D20:$AE20)-MIN('2_evaluate_surveys'!$D20:$AE20))=0,0,(('2_evaluate_surveys'!AA20-MIN('2_evaluate_surveys'!$D20:$AE20))/(MAX('2_evaluate_surveys'!$D20:$AE20)-MIN('2_evaluate_surveys'!$D20:$AE20))))</f>
        <v>1</v>
      </c>
      <c r="AB17" s="72">
        <f>IF((MAX('2_evaluate_surveys'!$D20:$AE20)-MIN('2_evaluate_surveys'!$D20:$AE20))=0,0,(('2_evaluate_surveys'!AB20-MIN('2_evaluate_surveys'!$D20:$AE20))/(MAX('2_evaluate_surveys'!$D20:$AE20)-MIN('2_evaluate_surveys'!$D20:$AE20))))</f>
        <v>0</v>
      </c>
      <c r="AC17" s="72">
        <f>IF((MAX('2_evaluate_surveys'!$D20:$AE20)-MIN('2_evaluate_surveys'!$D20:$AE20))=0,0,(('2_evaluate_surveys'!AC20-MIN('2_evaluate_surveys'!$D20:$AE20))/(MAX('2_evaluate_surveys'!$D20:$AE20)-MIN('2_evaluate_surveys'!$D20:$AE20))))</f>
        <v>1</v>
      </c>
      <c r="AD17" s="72">
        <f>IF((MAX('2_evaluate_surveys'!$D20:$AE20)-MIN('2_evaluate_surveys'!$D20:$AE20))=0,0,(('2_evaluate_surveys'!AD20-MIN('2_evaluate_surveys'!$D20:$AE20))/(MAX('2_evaluate_surveys'!$D20:$AE20)-MIN('2_evaluate_surveys'!$D20:$AE20))))</f>
        <v>1</v>
      </c>
      <c r="AE17" s="72">
        <f>IF((MAX('2_evaluate_surveys'!$D20:$AE20)-MIN('2_evaluate_surveys'!$D20:$AE20))=0,0,(('2_evaluate_surveys'!AE20-MIN('2_evaluate_surveys'!$D20:$AE20))/(MAX('2_evaluate_surveys'!$D20:$AE20)-MIN('2_evaluate_surveys'!$D20:$AE20))))</f>
        <v>1</v>
      </c>
      <c r="AF17" s="72">
        <f>IF((MAX('2_evaluate_surveys'!$D20:$AE20)-MIN('2_evaluate_surveys'!$D20:$AE20))=0,0,(('2_evaluate_surveys'!AF20-MIN('2_evaluate_surveys'!$D20:$AE20))/(MAX('2_evaluate_surveys'!$D20:$AE20)-MIN('2_evaluate_surveys'!$D20:$AE20))))</f>
        <v>0.33333333333333331</v>
      </c>
      <c r="AG17" s="72">
        <f>IF((MAX('2_evaluate_surveys'!$D20:$AE20)-MIN('2_evaluate_surveys'!$D20:$AE20))=0,0,(('2_evaluate_surveys'!AG20-MIN('2_evaluate_surveys'!$D20:$AE20))/(MAX('2_evaluate_surveys'!$D20:$AE20)-MIN('2_evaluate_surveys'!$D20:$AE20))))</f>
        <v>0.33333333333333331</v>
      </c>
      <c r="AH17" s="72">
        <f>IF((MAX('2_evaluate_surveys'!$D20:$AE20)-MIN('2_evaluate_surveys'!$D20:$AE20))=0,0,(('2_evaluate_surveys'!AH20-MIN('2_evaluate_surveys'!$D20:$AE20))/(MAX('2_evaluate_surveys'!$D20:$AE20)-MIN('2_evaluate_surveys'!$D20:$AE20))))</f>
        <v>1</v>
      </c>
      <c r="AI17" s="72"/>
    </row>
    <row r="18" spans="1:35" x14ac:dyDescent="0.35">
      <c r="A18" s="139">
        <v>13</v>
      </c>
      <c r="B18" s="137" t="s">
        <v>37</v>
      </c>
      <c r="C18" s="141" t="s">
        <v>97</v>
      </c>
      <c r="D18" s="142">
        <f>IF((MAX('2_evaluate_surveys'!$D21:$AE21)-MIN('2_evaluate_surveys'!$D21:$AE21))=0,0,(('2_evaluate_surveys'!D21-MIN('2_evaluate_surveys'!$D21:$AE21))/(MAX('2_evaluate_surveys'!$D21:$AE21)-MIN('2_evaluate_surveys'!$D21:$AE21))))</f>
        <v>0</v>
      </c>
      <c r="E18" s="142">
        <f>IF((MAX('2_evaluate_surveys'!$D21:$AE21)-MIN('2_evaluate_surveys'!$D21:$AE21))=0,0,(('2_evaluate_surveys'!E21-MIN('2_evaluate_surveys'!$D21:$AE21))/(MAX('2_evaluate_surveys'!$D21:$AE21)-MIN('2_evaluate_surveys'!$D21:$AE21))))</f>
        <v>0</v>
      </c>
      <c r="F18" s="147">
        <f>IF((MAX('2_evaluate_surveys'!$D21:$AE21)-MIN('2_evaluate_surveys'!$D21:$AE21))=0,0,(('2_evaluate_surveys'!F21-MIN('2_evaluate_surveys'!$D21:$AE21))/(MAX('2_evaluate_surveys'!$D21:$AE21)-MIN('2_evaluate_surveys'!$D21:$AE21))))</f>
        <v>1</v>
      </c>
      <c r="G18" s="72">
        <f>IF((MAX('2_evaluate_surveys'!$D21:$AE21)-MIN('2_evaluate_surveys'!$D21:$AE21))=0,0,(('2_evaluate_surveys'!G21-MIN('2_evaluate_surveys'!$D21:$AE21))/(MAX('2_evaluate_surveys'!$D21:$AE21)-MIN('2_evaluate_surveys'!$D21:$AE21))))</f>
        <v>0</v>
      </c>
      <c r="H18" s="72">
        <f>IF((MAX('2_evaluate_surveys'!$D21:$AE21)-MIN('2_evaluate_surveys'!$D21:$AE21))=0,0,(('2_evaluate_surveys'!H21-MIN('2_evaluate_surveys'!$D21:$AE21))/(MAX('2_evaluate_surveys'!$D21:$AE21)-MIN('2_evaluate_surveys'!$D21:$AE21))))</f>
        <v>0</v>
      </c>
      <c r="I18" s="72">
        <f>IF((MAX('2_evaluate_surveys'!$D21:$AE21)-MIN('2_evaluate_surveys'!$D21:$AE21))=0,0,(('2_evaluate_surveys'!I21-MIN('2_evaluate_surveys'!$D21:$AE21))/(MAX('2_evaluate_surveys'!$D21:$AE21)-MIN('2_evaluate_surveys'!$D21:$AE21))))</f>
        <v>0</v>
      </c>
      <c r="J18" s="72">
        <f>IF((MAX('2_evaluate_surveys'!$D21:$AE21)-MIN('2_evaluate_surveys'!$D21:$AE21))=0,0,(('2_evaluate_surveys'!J21-MIN('2_evaluate_surveys'!$D21:$AE21))/(MAX('2_evaluate_surveys'!$D21:$AE21)-MIN('2_evaluate_surveys'!$D21:$AE21))))</f>
        <v>0</v>
      </c>
      <c r="K18" s="72">
        <f>IF((MAX('2_evaluate_surveys'!$D21:$AE21)-MIN('2_evaluate_surveys'!$D21:$AE21))=0,0,(('2_evaluate_surveys'!K21-MIN('2_evaluate_surveys'!$D21:$AE21))/(MAX('2_evaluate_surveys'!$D21:$AE21)-MIN('2_evaluate_surveys'!$D21:$AE21))))</f>
        <v>1</v>
      </c>
      <c r="L18" s="72">
        <f>IF((MAX('2_evaluate_surveys'!$D21:$AE21)-MIN('2_evaluate_surveys'!$D21:$AE21))=0,0,(('2_evaluate_surveys'!L21-MIN('2_evaluate_surveys'!$D21:$AE21))/(MAX('2_evaluate_surveys'!$D21:$AE21)-MIN('2_evaluate_surveys'!$D21:$AE21))))</f>
        <v>0</v>
      </c>
      <c r="M18" s="72">
        <f>IF((MAX('2_evaluate_surveys'!$D21:$AE21)-MIN('2_evaluate_surveys'!$D21:$AE21))=0,0,(('2_evaluate_surveys'!M21-MIN('2_evaluate_surveys'!$D21:$AE21))/(MAX('2_evaluate_surveys'!$D21:$AE21)-MIN('2_evaluate_surveys'!$D21:$AE21))))</f>
        <v>0</v>
      </c>
      <c r="N18" s="72">
        <f>IF((MAX('2_evaluate_surveys'!$D21:$AE21)-MIN('2_evaluate_surveys'!$D21:$AE21))=0,0,(('2_evaluate_surveys'!N21-MIN('2_evaluate_surveys'!$D21:$AE21))/(MAX('2_evaluate_surveys'!$D21:$AE21)-MIN('2_evaluate_surveys'!$D21:$AE21))))</f>
        <v>0</v>
      </c>
      <c r="O18" s="72">
        <f>IF((MAX('2_evaluate_surveys'!$D21:$AE21)-MIN('2_evaluate_surveys'!$D21:$AE21))=0,0,(('2_evaluate_surveys'!O21-MIN('2_evaluate_surveys'!$D21:$AE21))/(MAX('2_evaluate_surveys'!$D21:$AE21)-MIN('2_evaluate_surveys'!$D21:$AE21))))</f>
        <v>0</v>
      </c>
      <c r="P18" s="72">
        <f>IF((MAX('2_evaluate_surveys'!$D21:$AE21)-MIN('2_evaluate_surveys'!$D21:$AE21))=0,0,(('2_evaluate_surveys'!P21-MIN('2_evaluate_surveys'!$D21:$AE21))/(MAX('2_evaluate_surveys'!$D21:$AE21)-MIN('2_evaluate_surveys'!$D21:$AE21))))</f>
        <v>0</v>
      </c>
      <c r="Q18" s="72">
        <f>IF((MAX('2_evaluate_surveys'!$D21:$AE21)-MIN('2_evaluate_surveys'!$D21:$AE21))=0,0,(('2_evaluate_surveys'!Q21-MIN('2_evaluate_surveys'!$D21:$AE21))/(MAX('2_evaluate_surveys'!$D21:$AE21)-MIN('2_evaluate_surveys'!$D21:$AE21))))</f>
        <v>0</v>
      </c>
      <c r="R18" s="72">
        <f>IF((MAX('2_evaluate_surveys'!$D21:$AE21)-MIN('2_evaluate_surveys'!$D21:$AE21))=0,0,(('2_evaluate_surveys'!R21-MIN('2_evaluate_surveys'!$D21:$AE21))/(MAX('2_evaluate_surveys'!$D21:$AE21)-MIN('2_evaluate_surveys'!$D21:$AE21))))</f>
        <v>0</v>
      </c>
      <c r="S18" s="72">
        <f>IF((MAX('2_evaluate_surveys'!$D21:$AE21)-MIN('2_evaluate_surveys'!$D21:$AE21))=0,0,(('2_evaluate_surveys'!S21-MIN('2_evaluate_surveys'!$D21:$AE21))/(MAX('2_evaluate_surveys'!$D21:$AE21)-MIN('2_evaluate_surveys'!$D21:$AE21))))</f>
        <v>0</v>
      </c>
      <c r="T18" s="72">
        <f>IF((MAX('2_evaluate_surveys'!$D21:$AE21)-MIN('2_evaluate_surveys'!$D21:$AE21))=0,0,(('2_evaluate_surveys'!T21-MIN('2_evaluate_surveys'!$D21:$AE21))/(MAX('2_evaluate_surveys'!$D21:$AE21)-MIN('2_evaluate_surveys'!$D21:$AE21))))</f>
        <v>0</v>
      </c>
      <c r="U18" s="72">
        <f>IF((MAX('2_evaluate_surveys'!$D21:$AE21)-MIN('2_evaluate_surveys'!$D21:$AE21))=0,0,(('2_evaluate_surveys'!U21-MIN('2_evaluate_surveys'!$D21:$AE21))/(MAX('2_evaluate_surveys'!$D21:$AE21)-MIN('2_evaluate_surveys'!$D21:$AE21))))</f>
        <v>0</v>
      </c>
      <c r="V18" s="72">
        <f>IF((MAX('2_evaluate_surveys'!$D21:$AE21)-MIN('2_evaluate_surveys'!$D21:$AE21))=0,0,(('2_evaluate_surveys'!V21-MIN('2_evaluate_surveys'!$D21:$AE21))/(MAX('2_evaluate_surveys'!$D21:$AE21)-MIN('2_evaluate_surveys'!$D21:$AE21))))</f>
        <v>0</v>
      </c>
      <c r="W18" s="72">
        <f>IF((MAX('2_evaluate_surveys'!$D21:$AE21)-MIN('2_evaluate_surveys'!$D21:$AE21))=0,0,(('2_evaluate_surveys'!W21-MIN('2_evaluate_surveys'!$D21:$AE21))/(MAX('2_evaluate_surveys'!$D21:$AE21)-MIN('2_evaluate_surveys'!$D21:$AE21))))</f>
        <v>0</v>
      </c>
      <c r="X18" s="72">
        <f>IF((MAX('2_evaluate_surveys'!$D21:$AE21)-MIN('2_evaluate_surveys'!$D21:$AE21))=0,0,(('2_evaluate_surveys'!X21-MIN('2_evaluate_surveys'!$D21:$AE21))/(MAX('2_evaluate_surveys'!$D21:$AE21)-MIN('2_evaluate_surveys'!$D21:$AE21))))</f>
        <v>1</v>
      </c>
      <c r="Y18" s="72">
        <f>IF((MAX('2_evaluate_surveys'!$D21:$AE21)-MIN('2_evaluate_surveys'!$D21:$AE21))=0,0,(('2_evaluate_surveys'!Y21-MIN('2_evaluate_surveys'!$D21:$AE21))/(MAX('2_evaluate_surveys'!$D21:$AE21)-MIN('2_evaluate_surveys'!$D21:$AE21))))</f>
        <v>1</v>
      </c>
      <c r="Z18" s="72">
        <f>IF((MAX('2_evaluate_surveys'!$D21:$AE21)-MIN('2_evaluate_surveys'!$D21:$AE21))=0,0,(('2_evaluate_surveys'!Z21-MIN('2_evaluate_surveys'!$D21:$AE21))/(MAX('2_evaluate_surveys'!$D21:$AE21)-MIN('2_evaluate_surveys'!$D21:$AE21))))</f>
        <v>1</v>
      </c>
      <c r="AA18" s="72">
        <f>IF((MAX('2_evaluate_surveys'!$D21:$AE21)-MIN('2_evaluate_surveys'!$D21:$AE21))=0,0,(('2_evaluate_surveys'!AA21-MIN('2_evaluate_surveys'!$D21:$AE21))/(MAX('2_evaluate_surveys'!$D21:$AE21)-MIN('2_evaluate_surveys'!$D21:$AE21))))</f>
        <v>0</v>
      </c>
      <c r="AB18" s="72">
        <f>IF((MAX('2_evaluate_surveys'!$D21:$AE21)-MIN('2_evaluate_surveys'!$D21:$AE21))=0,0,(('2_evaluate_surveys'!AB21-MIN('2_evaluate_surveys'!$D21:$AE21))/(MAX('2_evaluate_surveys'!$D21:$AE21)-MIN('2_evaluate_surveys'!$D21:$AE21))))</f>
        <v>0</v>
      </c>
      <c r="AC18" s="72">
        <f>IF((MAX('2_evaluate_surveys'!$D21:$AE21)-MIN('2_evaluate_surveys'!$D21:$AE21))=0,0,(('2_evaluate_surveys'!AC21-MIN('2_evaluate_surveys'!$D21:$AE21))/(MAX('2_evaluate_surveys'!$D21:$AE21)-MIN('2_evaluate_surveys'!$D21:$AE21))))</f>
        <v>0</v>
      </c>
      <c r="AD18" s="72">
        <f>IF((MAX('2_evaluate_surveys'!$D21:$AE21)-MIN('2_evaluate_surveys'!$D21:$AE21))=0,0,(('2_evaluate_surveys'!AD21-MIN('2_evaluate_surveys'!$D21:$AE21))/(MAX('2_evaluate_surveys'!$D21:$AE21)-MIN('2_evaluate_surveys'!$D21:$AE21))))</f>
        <v>0.33333333333333331</v>
      </c>
      <c r="AE18" s="72">
        <f>IF((MAX('2_evaluate_surveys'!$D21:$AE21)-MIN('2_evaluate_surveys'!$D21:$AE21))=0,0,(('2_evaluate_surveys'!AE21-MIN('2_evaluate_surveys'!$D21:$AE21))/(MAX('2_evaluate_surveys'!$D21:$AE21)-MIN('2_evaluate_surveys'!$D21:$AE21))))</f>
        <v>0</v>
      </c>
      <c r="AF18" s="72">
        <f>IF((MAX('2_evaluate_surveys'!$D21:$AE21)-MIN('2_evaluate_surveys'!$D21:$AE21))=0,0,(('2_evaluate_surveys'!AF21-MIN('2_evaluate_surveys'!$D21:$AE21))/(MAX('2_evaluate_surveys'!$D21:$AE21)-MIN('2_evaluate_surveys'!$D21:$AE21))))</f>
        <v>0</v>
      </c>
      <c r="AG18" s="72">
        <f>IF((MAX('2_evaluate_surveys'!$D21:$AE21)-MIN('2_evaluate_surveys'!$D21:$AE21))=0,0,(('2_evaluate_surveys'!AG21-MIN('2_evaluate_surveys'!$D21:$AE21))/(MAX('2_evaluate_surveys'!$D21:$AE21)-MIN('2_evaluate_surveys'!$D21:$AE21))))</f>
        <v>1</v>
      </c>
      <c r="AH18" s="72">
        <f>IF((MAX('2_evaluate_surveys'!$D21:$AE21)-MIN('2_evaluate_surveys'!$D21:$AE21))=0,0,(('2_evaluate_surveys'!AH21-MIN('2_evaluate_surveys'!$D21:$AE21))/(MAX('2_evaluate_surveys'!$D21:$AE21)-MIN('2_evaluate_surveys'!$D21:$AE21))))</f>
        <v>0.66666666666666663</v>
      </c>
      <c r="AI18" s="72"/>
    </row>
    <row r="19" spans="1:35" x14ac:dyDescent="0.35">
      <c r="A19" s="139">
        <v>14</v>
      </c>
      <c r="B19" s="137" t="s">
        <v>38</v>
      </c>
      <c r="C19" s="141" t="s">
        <v>97</v>
      </c>
      <c r="D19" s="142">
        <f>IF((MAX('2_evaluate_surveys'!$D22:$AE22)-MIN('2_evaluate_surveys'!$D22:$AE22))=0,0,(('2_evaluate_surveys'!D22-MIN('2_evaluate_surveys'!$D22:$AE22))/(MAX('2_evaluate_surveys'!$D22:$AE22)-MIN('2_evaluate_surveys'!$D22:$AE22))))</f>
        <v>0</v>
      </c>
      <c r="E19" s="142">
        <f>IF((MAX('2_evaluate_surveys'!$D22:$AE22)-MIN('2_evaluate_surveys'!$D22:$AE22))=0,0,(('2_evaluate_surveys'!E22-MIN('2_evaluate_surveys'!$D22:$AE22))/(MAX('2_evaluate_surveys'!$D22:$AE22)-MIN('2_evaluate_surveys'!$D22:$AE22))))</f>
        <v>1</v>
      </c>
      <c r="F19" s="147">
        <f>IF((MAX('2_evaluate_surveys'!$D22:$AE22)-MIN('2_evaluate_surveys'!$D22:$AE22))=0,0,(('2_evaluate_surveys'!F22-MIN('2_evaluate_surveys'!$D22:$AE22))/(MAX('2_evaluate_surveys'!$D22:$AE22)-MIN('2_evaluate_surveys'!$D22:$AE22))))</f>
        <v>1</v>
      </c>
      <c r="G19" s="72">
        <f>IF((MAX('2_evaluate_surveys'!$D22:$AE22)-MIN('2_evaluate_surveys'!$D22:$AE22))=0,0,(('2_evaluate_surveys'!G22-MIN('2_evaluate_surveys'!$D22:$AE22))/(MAX('2_evaluate_surveys'!$D22:$AE22)-MIN('2_evaluate_surveys'!$D22:$AE22))))</f>
        <v>0</v>
      </c>
      <c r="H19" s="72">
        <f>IF((MAX('2_evaluate_surveys'!$D22:$AE22)-MIN('2_evaluate_surveys'!$D22:$AE22))=0,0,(('2_evaluate_surveys'!H22-MIN('2_evaluate_surveys'!$D22:$AE22))/(MAX('2_evaluate_surveys'!$D22:$AE22)-MIN('2_evaluate_surveys'!$D22:$AE22))))</f>
        <v>0</v>
      </c>
      <c r="I19" s="72">
        <f>IF((MAX('2_evaluate_surveys'!$D22:$AE22)-MIN('2_evaluate_surveys'!$D22:$AE22))=0,0,(('2_evaluate_surveys'!I22-MIN('2_evaluate_surveys'!$D22:$AE22))/(MAX('2_evaluate_surveys'!$D22:$AE22)-MIN('2_evaluate_surveys'!$D22:$AE22))))</f>
        <v>0</v>
      </c>
      <c r="J19" s="72">
        <f>IF((MAX('2_evaluate_surveys'!$D22:$AE22)-MIN('2_evaluate_surveys'!$D22:$AE22))=0,0,(('2_evaluate_surveys'!J22-MIN('2_evaluate_surveys'!$D22:$AE22))/(MAX('2_evaluate_surveys'!$D22:$AE22)-MIN('2_evaluate_surveys'!$D22:$AE22))))</f>
        <v>0</v>
      </c>
      <c r="K19" s="72">
        <f>IF((MAX('2_evaluate_surveys'!$D22:$AE22)-MIN('2_evaluate_surveys'!$D22:$AE22))=0,0,(('2_evaluate_surveys'!K22-MIN('2_evaluate_surveys'!$D22:$AE22))/(MAX('2_evaluate_surveys'!$D22:$AE22)-MIN('2_evaluate_surveys'!$D22:$AE22))))</f>
        <v>0</v>
      </c>
      <c r="L19" s="72">
        <f>IF((MAX('2_evaluate_surveys'!$D22:$AE22)-MIN('2_evaluate_surveys'!$D22:$AE22))=0,0,(('2_evaluate_surveys'!L22-MIN('2_evaluate_surveys'!$D22:$AE22))/(MAX('2_evaluate_surveys'!$D22:$AE22)-MIN('2_evaluate_surveys'!$D22:$AE22))))</f>
        <v>1</v>
      </c>
      <c r="M19" s="72">
        <f>IF((MAX('2_evaluate_surveys'!$D22:$AE22)-MIN('2_evaluate_surveys'!$D22:$AE22))=0,0,(('2_evaluate_surveys'!M22-MIN('2_evaluate_surveys'!$D22:$AE22))/(MAX('2_evaluate_surveys'!$D22:$AE22)-MIN('2_evaluate_surveys'!$D22:$AE22))))</f>
        <v>1</v>
      </c>
      <c r="N19" s="72">
        <f>IF((MAX('2_evaluate_surveys'!$D22:$AE22)-MIN('2_evaluate_surveys'!$D22:$AE22))=0,0,(('2_evaluate_surveys'!N22-MIN('2_evaluate_surveys'!$D22:$AE22))/(MAX('2_evaluate_surveys'!$D22:$AE22)-MIN('2_evaluate_surveys'!$D22:$AE22))))</f>
        <v>1</v>
      </c>
      <c r="O19" s="72">
        <f>IF((MAX('2_evaluate_surveys'!$D22:$AE22)-MIN('2_evaluate_surveys'!$D22:$AE22))=0,0,(('2_evaluate_surveys'!O22-MIN('2_evaluate_surveys'!$D22:$AE22))/(MAX('2_evaluate_surveys'!$D22:$AE22)-MIN('2_evaluate_surveys'!$D22:$AE22))))</f>
        <v>1</v>
      </c>
      <c r="P19" s="72">
        <f>IF((MAX('2_evaluate_surveys'!$D22:$AE22)-MIN('2_evaluate_surveys'!$D22:$AE22))=0,0,(('2_evaluate_surveys'!P22-MIN('2_evaluate_surveys'!$D22:$AE22))/(MAX('2_evaluate_surveys'!$D22:$AE22)-MIN('2_evaluate_surveys'!$D22:$AE22))))</f>
        <v>1</v>
      </c>
      <c r="Q19" s="72">
        <f>IF((MAX('2_evaluate_surveys'!$D22:$AE22)-MIN('2_evaluate_surveys'!$D22:$AE22))=0,0,(('2_evaluate_surveys'!Q22-MIN('2_evaluate_surveys'!$D22:$AE22))/(MAX('2_evaluate_surveys'!$D22:$AE22)-MIN('2_evaluate_surveys'!$D22:$AE22))))</f>
        <v>0</v>
      </c>
      <c r="R19" s="72">
        <f>IF((MAX('2_evaluate_surveys'!$D22:$AE22)-MIN('2_evaluate_surveys'!$D22:$AE22))=0,0,(('2_evaluate_surveys'!R22-MIN('2_evaluate_surveys'!$D22:$AE22))/(MAX('2_evaluate_surveys'!$D22:$AE22)-MIN('2_evaluate_surveys'!$D22:$AE22))))</f>
        <v>0</v>
      </c>
      <c r="S19" s="72">
        <f>IF((MAX('2_evaluate_surveys'!$D22:$AE22)-MIN('2_evaluate_surveys'!$D22:$AE22))=0,0,(('2_evaluate_surveys'!S22-MIN('2_evaluate_surveys'!$D22:$AE22))/(MAX('2_evaluate_surveys'!$D22:$AE22)-MIN('2_evaluate_surveys'!$D22:$AE22))))</f>
        <v>1</v>
      </c>
      <c r="T19" s="72">
        <f>IF((MAX('2_evaluate_surveys'!$D22:$AE22)-MIN('2_evaluate_surveys'!$D22:$AE22))=0,0,(('2_evaluate_surveys'!T22-MIN('2_evaluate_surveys'!$D22:$AE22))/(MAX('2_evaluate_surveys'!$D22:$AE22)-MIN('2_evaluate_surveys'!$D22:$AE22))))</f>
        <v>1</v>
      </c>
      <c r="U19" s="72">
        <f>IF((MAX('2_evaluate_surveys'!$D22:$AE22)-MIN('2_evaluate_surveys'!$D22:$AE22))=0,0,(('2_evaluate_surveys'!U22-MIN('2_evaluate_surveys'!$D22:$AE22))/(MAX('2_evaluate_surveys'!$D22:$AE22)-MIN('2_evaluate_surveys'!$D22:$AE22))))</f>
        <v>0</v>
      </c>
      <c r="V19" s="72">
        <f>IF((MAX('2_evaluate_surveys'!$D22:$AE22)-MIN('2_evaluate_surveys'!$D22:$AE22))=0,0,(('2_evaluate_surveys'!V22-MIN('2_evaluate_surveys'!$D22:$AE22))/(MAX('2_evaluate_surveys'!$D22:$AE22)-MIN('2_evaluate_surveys'!$D22:$AE22))))</f>
        <v>1</v>
      </c>
      <c r="W19" s="72">
        <f>IF((MAX('2_evaluate_surveys'!$D22:$AE22)-MIN('2_evaluate_surveys'!$D22:$AE22))=0,0,(('2_evaluate_surveys'!W22-MIN('2_evaluate_surveys'!$D22:$AE22))/(MAX('2_evaluate_surveys'!$D22:$AE22)-MIN('2_evaluate_surveys'!$D22:$AE22))))</f>
        <v>0</v>
      </c>
      <c r="X19" s="72">
        <f>IF((MAX('2_evaluate_surveys'!$D22:$AE22)-MIN('2_evaluate_surveys'!$D22:$AE22))=0,0,(('2_evaluate_surveys'!X22-MIN('2_evaluate_surveys'!$D22:$AE22))/(MAX('2_evaluate_surveys'!$D22:$AE22)-MIN('2_evaluate_surveys'!$D22:$AE22))))</f>
        <v>1</v>
      </c>
      <c r="Y19" s="72">
        <f>IF((MAX('2_evaluate_surveys'!$D22:$AE22)-MIN('2_evaluate_surveys'!$D22:$AE22))=0,0,(('2_evaluate_surveys'!Y22-MIN('2_evaluate_surveys'!$D22:$AE22))/(MAX('2_evaluate_surveys'!$D22:$AE22)-MIN('2_evaluate_surveys'!$D22:$AE22))))</f>
        <v>1</v>
      </c>
      <c r="Z19" s="72">
        <f>IF((MAX('2_evaluate_surveys'!$D22:$AE22)-MIN('2_evaluate_surveys'!$D22:$AE22))=0,0,(('2_evaluate_surveys'!Z22-MIN('2_evaluate_surveys'!$D22:$AE22))/(MAX('2_evaluate_surveys'!$D22:$AE22)-MIN('2_evaluate_surveys'!$D22:$AE22))))</f>
        <v>1</v>
      </c>
      <c r="AA19" s="72">
        <f>IF((MAX('2_evaluate_surveys'!$D22:$AE22)-MIN('2_evaluate_surveys'!$D22:$AE22))=0,0,(('2_evaluate_surveys'!AA22-MIN('2_evaluate_surveys'!$D22:$AE22))/(MAX('2_evaluate_surveys'!$D22:$AE22)-MIN('2_evaluate_surveys'!$D22:$AE22))))</f>
        <v>1</v>
      </c>
      <c r="AB19" s="72">
        <f>IF((MAX('2_evaluate_surveys'!$D22:$AE22)-MIN('2_evaluate_surveys'!$D22:$AE22))=0,0,(('2_evaluate_surveys'!AB22-MIN('2_evaluate_surveys'!$D22:$AE22))/(MAX('2_evaluate_surveys'!$D22:$AE22)-MIN('2_evaluate_surveys'!$D22:$AE22))))</f>
        <v>0</v>
      </c>
      <c r="AC19" s="72">
        <f>IF((MAX('2_evaluate_surveys'!$D22:$AE22)-MIN('2_evaluate_surveys'!$D22:$AE22))=0,0,(('2_evaluate_surveys'!AC22-MIN('2_evaluate_surveys'!$D22:$AE22))/(MAX('2_evaluate_surveys'!$D22:$AE22)-MIN('2_evaluate_surveys'!$D22:$AE22))))</f>
        <v>0</v>
      </c>
      <c r="AD19" s="72">
        <f>IF((MAX('2_evaluate_surveys'!$D22:$AE22)-MIN('2_evaluate_surveys'!$D22:$AE22))=0,0,(('2_evaluate_surveys'!AD22-MIN('2_evaluate_surveys'!$D22:$AE22))/(MAX('2_evaluate_surveys'!$D22:$AE22)-MIN('2_evaluate_surveys'!$D22:$AE22))))</f>
        <v>0</v>
      </c>
      <c r="AE19" s="72">
        <f>IF((MAX('2_evaluate_surveys'!$D22:$AE22)-MIN('2_evaluate_surveys'!$D22:$AE22))=0,0,(('2_evaluate_surveys'!AE22-MIN('2_evaluate_surveys'!$D22:$AE22))/(MAX('2_evaluate_surveys'!$D22:$AE22)-MIN('2_evaluate_surveys'!$D22:$AE22))))</f>
        <v>0</v>
      </c>
      <c r="AF19" s="72">
        <f>IF((MAX('2_evaluate_surveys'!$D22:$AE22)-MIN('2_evaluate_surveys'!$D22:$AE22))=0,0,(('2_evaluate_surveys'!AF22-MIN('2_evaluate_surveys'!$D22:$AE22))/(MAX('2_evaluate_surveys'!$D22:$AE22)-MIN('2_evaluate_surveys'!$D22:$AE22))))</f>
        <v>0</v>
      </c>
      <c r="AG19" s="72">
        <f>IF((MAX('2_evaluate_surveys'!$D22:$AE22)-MIN('2_evaluate_surveys'!$D22:$AE22))=0,0,(('2_evaluate_surveys'!AG22-MIN('2_evaluate_surveys'!$D22:$AE22))/(MAX('2_evaluate_surveys'!$D22:$AE22)-MIN('2_evaluate_surveys'!$D22:$AE22))))</f>
        <v>1</v>
      </c>
      <c r="AH19" s="72">
        <f>IF((MAX('2_evaluate_surveys'!$D22:$AE22)-MIN('2_evaluate_surveys'!$D22:$AE22))=0,0,(('2_evaluate_surveys'!AH22-MIN('2_evaluate_surveys'!$D22:$AE22))/(MAX('2_evaluate_surveys'!$D22:$AE22)-MIN('2_evaluate_surveys'!$D22:$AE22))))</f>
        <v>0</v>
      </c>
      <c r="AI19" s="72"/>
    </row>
    <row r="20" spans="1:35" s="72" customFormat="1" x14ac:dyDescent="0.35">
      <c r="A20" s="139">
        <v>15</v>
      </c>
      <c r="B20" s="137" t="s">
        <v>40</v>
      </c>
      <c r="C20" s="141" t="s">
        <v>97</v>
      </c>
      <c r="D20" s="142">
        <f>IF((MAX('2_evaluate_surveys'!$D23:$AE23)-MIN('2_evaluate_surveys'!$D23:$AE23))=0,0,(('2_evaluate_surveys'!D23-MIN('2_evaluate_surveys'!$D23:$AE23))/(MAX('2_evaluate_surveys'!$D23:$AE23)-MIN('2_evaluate_surveys'!$D23:$AE23))))</f>
        <v>0.66666666666666663</v>
      </c>
      <c r="E20" s="142">
        <f>IF((MAX('2_evaluate_surveys'!$D23:$AE23)-MIN('2_evaluate_surveys'!$D23:$AE23))=0,0,(('2_evaluate_surveys'!E23-MIN('2_evaluate_surveys'!$D23:$AE23))/(MAX('2_evaluate_surveys'!$D23:$AE23)-MIN('2_evaluate_surveys'!$D23:$AE23))))</f>
        <v>0.33333333333333331</v>
      </c>
      <c r="F20" s="147">
        <f>IF((MAX('2_evaluate_surveys'!$D23:$AE23)-MIN('2_evaluate_surveys'!$D23:$AE23))=0,0,(('2_evaluate_surveys'!F23-MIN('2_evaluate_surveys'!$D23:$AE23))/(MAX('2_evaluate_surveys'!$D23:$AE23)-MIN('2_evaluate_surveys'!$D23:$AE23))))</f>
        <v>0</v>
      </c>
      <c r="G20" s="72">
        <f>IF((MAX('2_evaluate_surveys'!$D23:$AE23)-MIN('2_evaluate_surveys'!$D23:$AE23))=0,0,(('2_evaluate_surveys'!G23-MIN('2_evaluate_surveys'!$D23:$AE23))/(MAX('2_evaluate_surveys'!$D23:$AE23)-MIN('2_evaluate_surveys'!$D23:$AE23))))</f>
        <v>0</v>
      </c>
      <c r="H20" s="72">
        <f>IF((MAX('2_evaluate_surveys'!$D23:$AE23)-MIN('2_evaluate_surveys'!$D23:$AE23))=0,0,(('2_evaluate_surveys'!H23-MIN('2_evaluate_surveys'!$D23:$AE23))/(MAX('2_evaluate_surveys'!$D23:$AE23)-MIN('2_evaluate_surveys'!$D23:$AE23))))</f>
        <v>0</v>
      </c>
      <c r="I20" s="72">
        <f>IF((MAX('2_evaluate_surveys'!$D23:$AE23)-MIN('2_evaluate_surveys'!$D23:$AE23))=0,0,(('2_evaluate_surveys'!I23-MIN('2_evaluate_surveys'!$D23:$AE23))/(MAX('2_evaluate_surveys'!$D23:$AE23)-MIN('2_evaluate_surveys'!$D23:$AE23))))</f>
        <v>0.33333333333333331</v>
      </c>
      <c r="J20" s="72">
        <f>IF((MAX('2_evaluate_surveys'!$D23:$AE23)-MIN('2_evaluate_surveys'!$D23:$AE23))=0,0,(('2_evaluate_surveys'!J23-MIN('2_evaluate_surveys'!$D23:$AE23))/(MAX('2_evaluate_surveys'!$D23:$AE23)-MIN('2_evaluate_surveys'!$D23:$AE23))))</f>
        <v>0.33333333333333331</v>
      </c>
      <c r="K20" s="72">
        <f>IF((MAX('2_evaluate_surveys'!$D23:$AE23)-MIN('2_evaluate_surveys'!$D23:$AE23))=0,0,(('2_evaluate_surveys'!K23-MIN('2_evaluate_surveys'!$D23:$AE23))/(MAX('2_evaluate_surveys'!$D23:$AE23)-MIN('2_evaluate_surveys'!$D23:$AE23))))</f>
        <v>0.33333333333333331</v>
      </c>
      <c r="L20" s="72">
        <f>IF((MAX('2_evaluate_surveys'!$D23:$AE23)-MIN('2_evaluate_surveys'!$D23:$AE23))=0,0,(('2_evaluate_surveys'!L23-MIN('2_evaluate_surveys'!$D23:$AE23))/(MAX('2_evaluate_surveys'!$D23:$AE23)-MIN('2_evaluate_surveys'!$D23:$AE23))))</f>
        <v>0.33333333333333331</v>
      </c>
      <c r="M20" s="72">
        <f>IF((MAX('2_evaluate_surveys'!$D23:$AE23)-MIN('2_evaluate_surveys'!$D23:$AE23))=0,0,(('2_evaluate_surveys'!M23-MIN('2_evaluate_surveys'!$D23:$AE23))/(MAX('2_evaluate_surveys'!$D23:$AE23)-MIN('2_evaluate_surveys'!$D23:$AE23))))</f>
        <v>0.33333333333333331</v>
      </c>
      <c r="N20" s="72">
        <f>IF((MAX('2_evaluate_surveys'!$D23:$AE23)-MIN('2_evaluate_surveys'!$D23:$AE23))=0,0,(('2_evaluate_surveys'!N23-MIN('2_evaluate_surveys'!$D23:$AE23))/(MAX('2_evaluate_surveys'!$D23:$AE23)-MIN('2_evaluate_surveys'!$D23:$AE23))))</f>
        <v>0.33333333333333331</v>
      </c>
      <c r="O20" s="72">
        <f>IF((MAX('2_evaluate_surveys'!$D23:$AE23)-MIN('2_evaluate_surveys'!$D23:$AE23))=0,0,(('2_evaluate_surveys'!O23-MIN('2_evaluate_surveys'!$D23:$AE23))/(MAX('2_evaluate_surveys'!$D23:$AE23)-MIN('2_evaluate_surveys'!$D23:$AE23))))</f>
        <v>0.33333333333333331</v>
      </c>
      <c r="P20" s="72">
        <f>IF((MAX('2_evaluate_surveys'!$D23:$AE23)-MIN('2_evaluate_surveys'!$D23:$AE23))=0,0,(('2_evaluate_surveys'!P23-MIN('2_evaluate_surveys'!$D23:$AE23))/(MAX('2_evaluate_surveys'!$D23:$AE23)-MIN('2_evaluate_surveys'!$D23:$AE23))))</f>
        <v>0.33333333333333331</v>
      </c>
      <c r="Q20" s="72">
        <f>IF((MAX('2_evaluate_surveys'!$D23:$AE23)-MIN('2_evaluate_surveys'!$D23:$AE23))=0,0,(('2_evaluate_surveys'!Q23-MIN('2_evaluate_surveys'!$D23:$AE23))/(MAX('2_evaluate_surveys'!$D23:$AE23)-MIN('2_evaluate_surveys'!$D23:$AE23))))</f>
        <v>0</v>
      </c>
      <c r="R20" s="72">
        <f>IF((MAX('2_evaluate_surveys'!$D23:$AE23)-MIN('2_evaluate_surveys'!$D23:$AE23))=0,0,(('2_evaluate_surveys'!R23-MIN('2_evaluate_surveys'!$D23:$AE23))/(MAX('2_evaluate_surveys'!$D23:$AE23)-MIN('2_evaluate_surveys'!$D23:$AE23))))</f>
        <v>0.33333333333333331</v>
      </c>
      <c r="S20" s="72">
        <f>IF((MAX('2_evaluate_surveys'!$D23:$AE23)-MIN('2_evaluate_surveys'!$D23:$AE23))=0,0,(('2_evaluate_surveys'!S23-MIN('2_evaluate_surveys'!$D23:$AE23))/(MAX('2_evaluate_surveys'!$D23:$AE23)-MIN('2_evaluate_surveys'!$D23:$AE23))))</f>
        <v>0</v>
      </c>
      <c r="T20" s="72">
        <f>IF((MAX('2_evaluate_surveys'!$D23:$AE23)-MIN('2_evaluate_surveys'!$D23:$AE23))=0,0,(('2_evaluate_surveys'!T23-MIN('2_evaluate_surveys'!$D23:$AE23))/(MAX('2_evaluate_surveys'!$D23:$AE23)-MIN('2_evaluate_surveys'!$D23:$AE23))))</f>
        <v>0.66666666666666663</v>
      </c>
      <c r="U20" s="72">
        <f>IF((MAX('2_evaluate_surveys'!$D23:$AE23)-MIN('2_evaluate_surveys'!$D23:$AE23))=0,0,(('2_evaluate_surveys'!U23-MIN('2_evaluate_surveys'!$D23:$AE23))/(MAX('2_evaluate_surveys'!$D23:$AE23)-MIN('2_evaluate_surveys'!$D23:$AE23))))</f>
        <v>0.66666666666666663</v>
      </c>
      <c r="V20" s="72">
        <f>IF((MAX('2_evaluate_surveys'!$D23:$AE23)-MIN('2_evaluate_surveys'!$D23:$AE23))=0,0,(('2_evaluate_surveys'!V23-MIN('2_evaluate_surveys'!$D23:$AE23))/(MAX('2_evaluate_surveys'!$D23:$AE23)-MIN('2_evaluate_surveys'!$D23:$AE23))))</f>
        <v>0.66666666666666663</v>
      </c>
      <c r="W20" s="72">
        <f>IF((MAX('2_evaluate_surveys'!$D23:$AE23)-MIN('2_evaluate_surveys'!$D23:$AE23))=0,0,(('2_evaluate_surveys'!W23-MIN('2_evaluate_surveys'!$D23:$AE23))/(MAX('2_evaluate_surveys'!$D23:$AE23)-MIN('2_evaluate_surveys'!$D23:$AE23))))</f>
        <v>0</v>
      </c>
      <c r="X20" s="72">
        <f>IF((MAX('2_evaluate_surveys'!$D23:$AE23)-MIN('2_evaluate_surveys'!$D23:$AE23))=0,0,(('2_evaluate_surveys'!X23-MIN('2_evaluate_surveys'!$D23:$AE23))/(MAX('2_evaluate_surveys'!$D23:$AE23)-MIN('2_evaluate_surveys'!$D23:$AE23))))</f>
        <v>0.66666666666666663</v>
      </c>
      <c r="Y20" s="72">
        <f>IF((MAX('2_evaluate_surveys'!$D23:$AE23)-MIN('2_evaluate_surveys'!$D23:$AE23))=0,0,(('2_evaluate_surveys'!Y23-MIN('2_evaluate_surveys'!$D23:$AE23))/(MAX('2_evaluate_surveys'!$D23:$AE23)-MIN('2_evaluate_surveys'!$D23:$AE23))))</f>
        <v>1</v>
      </c>
      <c r="Z20" s="72">
        <f>IF((MAX('2_evaluate_surveys'!$D23:$AE23)-MIN('2_evaluate_surveys'!$D23:$AE23))=0,0,(('2_evaluate_surveys'!Z23-MIN('2_evaluate_surveys'!$D23:$AE23))/(MAX('2_evaluate_surveys'!$D23:$AE23)-MIN('2_evaluate_surveys'!$D23:$AE23))))</f>
        <v>1</v>
      </c>
      <c r="AA20" s="72">
        <f>IF((MAX('2_evaluate_surveys'!$D23:$AE23)-MIN('2_evaluate_surveys'!$D23:$AE23))=0,0,(('2_evaluate_surveys'!AA23-MIN('2_evaluate_surveys'!$D23:$AE23))/(MAX('2_evaluate_surveys'!$D23:$AE23)-MIN('2_evaluate_surveys'!$D23:$AE23))))</f>
        <v>1</v>
      </c>
      <c r="AB20" s="72">
        <f>IF((MAX('2_evaluate_surveys'!$D23:$AE23)-MIN('2_evaluate_surveys'!$D23:$AE23))=0,0,(('2_evaluate_surveys'!AB23-MIN('2_evaluate_surveys'!$D23:$AE23))/(MAX('2_evaluate_surveys'!$D23:$AE23)-MIN('2_evaluate_surveys'!$D23:$AE23))))</f>
        <v>0</v>
      </c>
      <c r="AC20" s="72">
        <f>IF((MAX('2_evaluate_surveys'!$D23:$AE23)-MIN('2_evaluate_surveys'!$D23:$AE23))=0,0,(('2_evaluate_surveys'!AC23-MIN('2_evaluate_surveys'!$D23:$AE23))/(MAX('2_evaluate_surveys'!$D23:$AE23)-MIN('2_evaluate_surveys'!$D23:$AE23))))</f>
        <v>0</v>
      </c>
      <c r="AD20" s="72">
        <f>IF((MAX('2_evaluate_surveys'!$D23:$AE23)-MIN('2_evaluate_surveys'!$D23:$AE23))=0,0,(('2_evaluate_surveys'!AD23-MIN('2_evaluate_surveys'!$D23:$AE23))/(MAX('2_evaluate_surveys'!$D23:$AE23)-MIN('2_evaluate_surveys'!$D23:$AE23))))</f>
        <v>0.66666666666666663</v>
      </c>
      <c r="AE20" s="72">
        <f>IF((MAX('2_evaluate_surveys'!$D23:$AE23)-MIN('2_evaluate_surveys'!$D23:$AE23))=0,0,(('2_evaluate_surveys'!AE23-MIN('2_evaluate_surveys'!$D23:$AE23))/(MAX('2_evaluate_surveys'!$D23:$AE23)-MIN('2_evaluate_surveys'!$D23:$AE23))))</f>
        <v>0.66666666666666663</v>
      </c>
      <c r="AF20" s="72">
        <f>IF((MAX('2_evaluate_surveys'!$D23:$AE23)-MIN('2_evaluate_surveys'!$D23:$AE23))=0,0,(('2_evaluate_surveys'!AF23-MIN('2_evaluate_surveys'!$D23:$AE23))/(MAX('2_evaluate_surveys'!$D23:$AE23)-MIN('2_evaluate_surveys'!$D23:$AE23))))</f>
        <v>1</v>
      </c>
      <c r="AG20" s="72">
        <f>IF((MAX('2_evaluate_surveys'!$D23:$AE23)-MIN('2_evaluate_surveys'!$D23:$AE23))=0,0,(('2_evaluate_surveys'!AG23-MIN('2_evaluate_surveys'!$D23:$AE23))/(MAX('2_evaluate_surveys'!$D23:$AE23)-MIN('2_evaluate_surveys'!$D23:$AE23))))</f>
        <v>0.33333333333333331</v>
      </c>
      <c r="AH20" s="72">
        <f>IF((MAX('2_evaluate_surveys'!$D23:$AE23)-MIN('2_evaluate_surveys'!$D23:$AE23))=0,0,(('2_evaluate_surveys'!AH23-MIN('2_evaluate_surveys'!$D23:$AE23))/(MAX('2_evaluate_surveys'!$D23:$AE23)-MIN('2_evaluate_surveys'!$D23:$AE23))))</f>
        <v>0.33333333333333331</v>
      </c>
    </row>
    <row r="21" spans="1:35" s="72" customFormat="1" x14ac:dyDescent="0.35">
      <c r="A21" s="139">
        <v>16</v>
      </c>
      <c r="B21" s="137" t="s">
        <v>41</v>
      </c>
      <c r="C21" s="141" t="s">
        <v>97</v>
      </c>
      <c r="D21" s="142">
        <f>IF((MAX('2_evaluate_surveys'!$D24:$AE24)-MIN('2_evaluate_surveys'!$D24:$AE24))=0,0,(('2_evaluate_surveys'!D24-MIN('2_evaluate_surveys'!$D24:$AE24))/(MAX('2_evaluate_surveys'!$D24:$AE24)-MIN('2_evaluate_surveys'!$D24:$AE24))))</f>
        <v>1</v>
      </c>
      <c r="E21" s="142">
        <f>IF((MAX('2_evaluate_surveys'!$D24:$AE24)-MIN('2_evaluate_surveys'!$D24:$AE24))=0,0,(('2_evaluate_surveys'!E24-MIN('2_evaluate_surveys'!$D24:$AE24))/(MAX('2_evaluate_surveys'!$D24:$AE24)-MIN('2_evaluate_surveys'!$D24:$AE24))))</f>
        <v>1</v>
      </c>
      <c r="F21" s="147">
        <f>IF((MAX('2_evaluate_surveys'!$D24:$AE24)-MIN('2_evaluate_surveys'!$D24:$AE24))=0,0,(('2_evaluate_surveys'!F24-MIN('2_evaluate_surveys'!$D24:$AE24))/(MAX('2_evaluate_surveys'!$D24:$AE24)-MIN('2_evaluate_surveys'!$D24:$AE24))))</f>
        <v>1</v>
      </c>
      <c r="G21" s="72">
        <f>IF((MAX('2_evaluate_surveys'!$D24:$AE24)-MIN('2_evaluate_surveys'!$D24:$AE24))=0,0,(('2_evaluate_surveys'!G24-MIN('2_evaluate_surveys'!$D24:$AE24))/(MAX('2_evaluate_surveys'!$D24:$AE24)-MIN('2_evaluate_surveys'!$D24:$AE24))))</f>
        <v>1</v>
      </c>
      <c r="H21" s="72">
        <f>IF((MAX('2_evaluate_surveys'!$D24:$AE24)-MIN('2_evaluate_surveys'!$D24:$AE24))=0,0,(('2_evaluate_surveys'!H24-MIN('2_evaluate_surveys'!$D24:$AE24))/(MAX('2_evaluate_surveys'!$D24:$AE24)-MIN('2_evaluate_surveys'!$D24:$AE24))))</f>
        <v>1</v>
      </c>
      <c r="I21" s="72">
        <f>IF((MAX('2_evaluate_surveys'!$D24:$AE24)-MIN('2_evaluate_surveys'!$D24:$AE24))=0,0,(('2_evaluate_surveys'!I24-MIN('2_evaluate_surveys'!$D24:$AE24))/(MAX('2_evaluate_surveys'!$D24:$AE24)-MIN('2_evaluate_surveys'!$D24:$AE24))))</f>
        <v>1</v>
      </c>
      <c r="J21" s="72">
        <f>IF((MAX('2_evaluate_surveys'!$D24:$AE24)-MIN('2_evaluate_surveys'!$D24:$AE24))=0,0,(('2_evaluate_surveys'!J24-MIN('2_evaluate_surveys'!$D24:$AE24))/(MAX('2_evaluate_surveys'!$D24:$AE24)-MIN('2_evaluate_surveys'!$D24:$AE24))))</f>
        <v>1</v>
      </c>
      <c r="K21" s="72">
        <f>IF((MAX('2_evaluate_surveys'!$D24:$AE24)-MIN('2_evaluate_surveys'!$D24:$AE24))=0,0,(('2_evaluate_surveys'!K24-MIN('2_evaluate_surveys'!$D24:$AE24))/(MAX('2_evaluate_surveys'!$D24:$AE24)-MIN('2_evaluate_surveys'!$D24:$AE24))))</f>
        <v>1</v>
      </c>
      <c r="L21" s="72">
        <f>IF((MAX('2_evaluate_surveys'!$D24:$AE24)-MIN('2_evaluate_surveys'!$D24:$AE24))=0,0,(('2_evaluate_surveys'!L24-MIN('2_evaluate_surveys'!$D24:$AE24))/(MAX('2_evaluate_surveys'!$D24:$AE24)-MIN('2_evaluate_surveys'!$D24:$AE24))))</f>
        <v>1</v>
      </c>
      <c r="M21" s="72">
        <f>IF((MAX('2_evaluate_surveys'!$D24:$AE24)-MIN('2_evaluate_surveys'!$D24:$AE24))=0,0,(('2_evaluate_surveys'!M24-MIN('2_evaluate_surveys'!$D24:$AE24))/(MAX('2_evaluate_surveys'!$D24:$AE24)-MIN('2_evaluate_surveys'!$D24:$AE24))))</f>
        <v>1</v>
      </c>
      <c r="N21" s="72">
        <f>IF((MAX('2_evaluate_surveys'!$D24:$AE24)-MIN('2_evaluate_surveys'!$D24:$AE24))=0,0,(('2_evaluate_surveys'!N24-MIN('2_evaluate_surveys'!$D24:$AE24))/(MAX('2_evaluate_surveys'!$D24:$AE24)-MIN('2_evaluate_surveys'!$D24:$AE24))))</f>
        <v>1</v>
      </c>
      <c r="O21" s="72">
        <f>IF((MAX('2_evaluate_surveys'!$D24:$AE24)-MIN('2_evaluate_surveys'!$D24:$AE24))=0,0,(('2_evaluate_surveys'!O24-MIN('2_evaluate_surveys'!$D24:$AE24))/(MAX('2_evaluate_surveys'!$D24:$AE24)-MIN('2_evaluate_surveys'!$D24:$AE24))))</f>
        <v>1</v>
      </c>
      <c r="P21" s="72">
        <f>IF((MAX('2_evaluate_surveys'!$D24:$AE24)-MIN('2_evaluate_surveys'!$D24:$AE24))=0,0,(('2_evaluate_surveys'!P24-MIN('2_evaluate_surveys'!$D24:$AE24))/(MAX('2_evaluate_surveys'!$D24:$AE24)-MIN('2_evaluate_surveys'!$D24:$AE24))))</f>
        <v>1</v>
      </c>
      <c r="Q21" s="72">
        <f>IF((MAX('2_evaluate_surveys'!$D24:$AE24)-MIN('2_evaluate_surveys'!$D24:$AE24))=0,0,(('2_evaluate_surveys'!Q24-MIN('2_evaluate_surveys'!$D24:$AE24))/(MAX('2_evaluate_surveys'!$D24:$AE24)-MIN('2_evaluate_surveys'!$D24:$AE24))))</f>
        <v>1</v>
      </c>
      <c r="R21" s="72">
        <f>IF((MAX('2_evaluate_surveys'!$D24:$AE24)-MIN('2_evaluate_surveys'!$D24:$AE24))=0,0,(('2_evaluate_surveys'!R24-MIN('2_evaluate_surveys'!$D24:$AE24))/(MAX('2_evaluate_surveys'!$D24:$AE24)-MIN('2_evaluate_surveys'!$D24:$AE24))))</f>
        <v>1</v>
      </c>
      <c r="S21" s="72">
        <f>IF((MAX('2_evaluate_surveys'!$D24:$AE24)-MIN('2_evaluate_surveys'!$D24:$AE24))=0,0,(('2_evaluate_surveys'!S24-MIN('2_evaluate_surveys'!$D24:$AE24))/(MAX('2_evaluate_surveys'!$D24:$AE24)-MIN('2_evaluate_surveys'!$D24:$AE24))))</f>
        <v>1</v>
      </c>
      <c r="T21" s="72">
        <f>IF((MAX('2_evaluate_surveys'!$D24:$AE24)-MIN('2_evaluate_surveys'!$D24:$AE24))=0,0,(('2_evaluate_surveys'!T24-MIN('2_evaluate_surveys'!$D24:$AE24))/(MAX('2_evaluate_surveys'!$D24:$AE24)-MIN('2_evaluate_surveys'!$D24:$AE24))))</f>
        <v>0</v>
      </c>
      <c r="U21" s="72">
        <f>IF((MAX('2_evaluate_surveys'!$D24:$AE24)-MIN('2_evaluate_surveys'!$D24:$AE24))=0,0,(('2_evaluate_surveys'!U24-MIN('2_evaluate_surveys'!$D24:$AE24))/(MAX('2_evaluate_surveys'!$D24:$AE24)-MIN('2_evaluate_surveys'!$D24:$AE24))))</f>
        <v>1</v>
      </c>
      <c r="V21" s="72">
        <f>IF((MAX('2_evaluate_surveys'!$D24:$AE24)-MIN('2_evaluate_surveys'!$D24:$AE24))=0,0,(('2_evaluate_surveys'!V24-MIN('2_evaluate_surveys'!$D24:$AE24))/(MAX('2_evaluate_surveys'!$D24:$AE24)-MIN('2_evaluate_surveys'!$D24:$AE24))))</f>
        <v>1</v>
      </c>
      <c r="W21" s="72">
        <f>IF((MAX('2_evaluate_surveys'!$D24:$AE24)-MIN('2_evaluate_surveys'!$D24:$AE24))=0,0,(('2_evaluate_surveys'!W24-MIN('2_evaluate_surveys'!$D24:$AE24))/(MAX('2_evaluate_surveys'!$D24:$AE24)-MIN('2_evaluate_surveys'!$D24:$AE24))))</f>
        <v>1</v>
      </c>
      <c r="X21" s="72">
        <f>IF((MAX('2_evaluate_surveys'!$D24:$AE24)-MIN('2_evaluate_surveys'!$D24:$AE24))=0,0,(('2_evaluate_surveys'!X24-MIN('2_evaluate_surveys'!$D24:$AE24))/(MAX('2_evaluate_surveys'!$D24:$AE24)-MIN('2_evaluate_surveys'!$D24:$AE24))))</f>
        <v>1</v>
      </c>
      <c r="Y21" s="72">
        <f>IF((MAX('2_evaluate_surveys'!$D24:$AE24)-MIN('2_evaluate_surveys'!$D24:$AE24))=0,0,(('2_evaluate_surveys'!Y24-MIN('2_evaluate_surveys'!$D24:$AE24))/(MAX('2_evaluate_surveys'!$D24:$AE24)-MIN('2_evaluate_surveys'!$D24:$AE24))))</f>
        <v>0.5</v>
      </c>
      <c r="Z21" s="72">
        <f>IF((MAX('2_evaluate_surveys'!$D24:$AE24)-MIN('2_evaluate_surveys'!$D24:$AE24))=0,0,(('2_evaluate_surveys'!Z24-MIN('2_evaluate_surveys'!$D24:$AE24))/(MAX('2_evaluate_surveys'!$D24:$AE24)-MIN('2_evaluate_surveys'!$D24:$AE24))))</f>
        <v>1</v>
      </c>
      <c r="AA21" s="72">
        <f>IF((MAX('2_evaluate_surveys'!$D24:$AE24)-MIN('2_evaluate_surveys'!$D24:$AE24))=0,0,(('2_evaluate_surveys'!AA24-MIN('2_evaluate_surveys'!$D24:$AE24))/(MAX('2_evaluate_surveys'!$D24:$AE24)-MIN('2_evaluate_surveys'!$D24:$AE24))))</f>
        <v>0.5</v>
      </c>
      <c r="AB21" s="72">
        <f>IF((MAX('2_evaluate_surveys'!$D24:$AE24)-MIN('2_evaluate_surveys'!$D24:$AE24))=0,0,(('2_evaluate_surveys'!AB24-MIN('2_evaluate_surveys'!$D24:$AE24))/(MAX('2_evaluate_surveys'!$D24:$AE24)-MIN('2_evaluate_surveys'!$D24:$AE24))))</f>
        <v>1</v>
      </c>
      <c r="AC21" s="72">
        <f>IF((MAX('2_evaluate_surveys'!$D24:$AE24)-MIN('2_evaluate_surveys'!$D24:$AE24))=0,0,(('2_evaluate_surveys'!AC24-MIN('2_evaluate_surveys'!$D24:$AE24))/(MAX('2_evaluate_surveys'!$D24:$AE24)-MIN('2_evaluate_surveys'!$D24:$AE24))))</f>
        <v>1</v>
      </c>
      <c r="AD21" s="72">
        <f>IF((MAX('2_evaluate_surveys'!$D24:$AE24)-MIN('2_evaluate_surveys'!$D24:$AE24))=0,0,(('2_evaluate_surveys'!AD24-MIN('2_evaluate_surveys'!$D24:$AE24))/(MAX('2_evaluate_surveys'!$D24:$AE24)-MIN('2_evaluate_surveys'!$D24:$AE24))))</f>
        <v>1</v>
      </c>
      <c r="AE21" s="72">
        <f>IF((MAX('2_evaluate_surveys'!$D24:$AE24)-MIN('2_evaluate_surveys'!$D24:$AE24))=0,0,(('2_evaluate_surveys'!AE24-MIN('2_evaluate_surveys'!$D24:$AE24))/(MAX('2_evaluate_surveys'!$D24:$AE24)-MIN('2_evaluate_surveys'!$D24:$AE24))))</f>
        <v>1</v>
      </c>
      <c r="AF21" s="72">
        <f>IF((MAX('2_evaluate_surveys'!$D24:$AE24)-MIN('2_evaluate_surveys'!$D24:$AE24))=0,0,(('2_evaluate_surveys'!AF24-MIN('2_evaluate_surveys'!$D24:$AE24))/(MAX('2_evaluate_surveys'!$D24:$AE24)-MIN('2_evaluate_surveys'!$D24:$AE24))))</f>
        <v>1</v>
      </c>
      <c r="AG21" s="72">
        <f>IF((MAX('2_evaluate_surveys'!$D24:$AE24)-MIN('2_evaluate_surveys'!$D24:$AE24))=0,0,(('2_evaluate_surveys'!AG24-MIN('2_evaluate_surveys'!$D24:$AE24))/(MAX('2_evaluate_surveys'!$D24:$AE24)-MIN('2_evaluate_surveys'!$D24:$AE24))))</f>
        <v>0.5</v>
      </c>
      <c r="AH21" s="72">
        <f>IF((MAX('2_evaluate_surveys'!$D24:$AE24)-MIN('2_evaluate_surveys'!$D24:$AE24))=0,0,(('2_evaluate_surveys'!AH24-MIN('2_evaluate_surveys'!$D24:$AE24))/(MAX('2_evaluate_surveys'!$D24:$AE24)-MIN('2_evaluate_surveys'!$D24:$AE24))))</f>
        <v>1</v>
      </c>
    </row>
    <row r="22" spans="1:35" s="72" customFormat="1" ht="13.15" thickBot="1" x14ac:dyDescent="0.4">
      <c r="A22" s="140">
        <v>17</v>
      </c>
      <c r="B22" s="138" t="s">
        <v>42</v>
      </c>
      <c r="C22" s="143" t="s">
        <v>97</v>
      </c>
      <c r="D22" s="144">
        <f>IF((MAX('2_evaluate_surveys'!$D25:$AE25)-MIN('2_evaluate_surveys'!$D25:$AE25))=0,0,(('2_evaluate_surveys'!D25-MIN('2_evaluate_surveys'!$D25:$AE25))/(MAX('2_evaluate_surveys'!$D25:$AE25)-MIN('2_evaluate_surveys'!$D25:$AE25))))</f>
        <v>0.5</v>
      </c>
      <c r="E22" s="144">
        <f>IF((MAX('2_evaluate_surveys'!$D25:$AE25)-MIN('2_evaluate_surveys'!$D25:$AE25))=0,0,(('2_evaluate_surveys'!E25-MIN('2_evaluate_surveys'!$D25:$AE25))/(MAX('2_evaluate_surveys'!$D25:$AE25)-MIN('2_evaluate_surveys'!$D25:$AE25))))</f>
        <v>1</v>
      </c>
      <c r="F22" s="148">
        <f>IF((MAX('2_evaluate_surveys'!$D25:$AE25)-MIN('2_evaluate_surveys'!$D25:$AE25))=0,0,(('2_evaluate_surveys'!F25-MIN('2_evaluate_surveys'!$D25:$AE25))/(MAX('2_evaluate_surveys'!$D25:$AE25)-MIN('2_evaluate_surveys'!$D25:$AE25))))</f>
        <v>1</v>
      </c>
      <c r="G22" s="72">
        <f>IF((MAX('2_evaluate_surveys'!$D25:$AE25)-MIN('2_evaluate_surveys'!$D25:$AE25))=0,0,(('2_evaluate_surveys'!G25-MIN('2_evaluate_surveys'!$D25:$AE25))/(MAX('2_evaluate_surveys'!$D25:$AE25)-MIN('2_evaluate_surveys'!$D25:$AE25))))</f>
        <v>0.5</v>
      </c>
      <c r="H22" s="72">
        <f>IF((MAX('2_evaluate_surveys'!$D25:$AE25)-MIN('2_evaluate_surveys'!$D25:$AE25))=0,0,(('2_evaluate_surveys'!H25-MIN('2_evaluate_surveys'!$D25:$AE25))/(MAX('2_evaluate_surveys'!$D25:$AE25)-MIN('2_evaluate_surveys'!$D25:$AE25))))</f>
        <v>0.5</v>
      </c>
      <c r="I22" s="72">
        <f>IF((MAX('2_evaluate_surveys'!$D25:$AE25)-MIN('2_evaluate_surveys'!$D25:$AE25))=0,0,(('2_evaluate_surveys'!I25-MIN('2_evaluate_surveys'!$D25:$AE25))/(MAX('2_evaluate_surveys'!$D25:$AE25)-MIN('2_evaluate_surveys'!$D25:$AE25))))</f>
        <v>0.5</v>
      </c>
      <c r="J22" s="72">
        <f>IF((MAX('2_evaluate_surveys'!$D25:$AE25)-MIN('2_evaluate_surveys'!$D25:$AE25))=0,0,(('2_evaluate_surveys'!J25-MIN('2_evaluate_surveys'!$D25:$AE25))/(MAX('2_evaluate_surveys'!$D25:$AE25)-MIN('2_evaluate_surveys'!$D25:$AE25))))</f>
        <v>0.5</v>
      </c>
      <c r="K22" s="72">
        <f>IF((MAX('2_evaluate_surveys'!$D25:$AE25)-MIN('2_evaluate_surveys'!$D25:$AE25))=0,0,(('2_evaluate_surveys'!K25-MIN('2_evaluate_surveys'!$D25:$AE25))/(MAX('2_evaluate_surveys'!$D25:$AE25)-MIN('2_evaluate_surveys'!$D25:$AE25))))</f>
        <v>1</v>
      </c>
      <c r="L22" s="72">
        <f>IF((MAX('2_evaluate_surveys'!$D25:$AE25)-MIN('2_evaluate_surveys'!$D25:$AE25))=0,0,(('2_evaluate_surveys'!L25-MIN('2_evaluate_surveys'!$D25:$AE25))/(MAX('2_evaluate_surveys'!$D25:$AE25)-MIN('2_evaluate_surveys'!$D25:$AE25))))</f>
        <v>1</v>
      </c>
      <c r="M22" s="72">
        <f>IF((MAX('2_evaluate_surveys'!$D25:$AE25)-MIN('2_evaluate_surveys'!$D25:$AE25))=0,0,(('2_evaluate_surveys'!M25-MIN('2_evaluate_surveys'!$D25:$AE25))/(MAX('2_evaluate_surveys'!$D25:$AE25)-MIN('2_evaluate_surveys'!$D25:$AE25))))</f>
        <v>1</v>
      </c>
      <c r="N22" s="72">
        <f>IF((MAX('2_evaluate_surveys'!$D25:$AE25)-MIN('2_evaluate_surveys'!$D25:$AE25))=0,0,(('2_evaluate_surveys'!N25-MIN('2_evaluate_surveys'!$D25:$AE25))/(MAX('2_evaluate_surveys'!$D25:$AE25)-MIN('2_evaluate_surveys'!$D25:$AE25))))</f>
        <v>1</v>
      </c>
      <c r="O22" s="72">
        <f>IF((MAX('2_evaluate_surveys'!$D25:$AE25)-MIN('2_evaluate_surveys'!$D25:$AE25))=0,0,(('2_evaluate_surveys'!O25-MIN('2_evaluate_surveys'!$D25:$AE25))/(MAX('2_evaluate_surveys'!$D25:$AE25)-MIN('2_evaluate_surveys'!$D25:$AE25))))</f>
        <v>1</v>
      </c>
      <c r="P22" s="72">
        <f>IF((MAX('2_evaluate_surveys'!$D25:$AE25)-MIN('2_evaluate_surveys'!$D25:$AE25))=0,0,(('2_evaluate_surveys'!P25-MIN('2_evaluate_surveys'!$D25:$AE25))/(MAX('2_evaluate_surveys'!$D25:$AE25)-MIN('2_evaluate_surveys'!$D25:$AE25))))</f>
        <v>1</v>
      </c>
      <c r="Q22" s="72">
        <f>IF((MAX('2_evaluate_surveys'!$D25:$AE25)-MIN('2_evaluate_surveys'!$D25:$AE25))=0,0,(('2_evaluate_surveys'!Q25-MIN('2_evaluate_surveys'!$D25:$AE25))/(MAX('2_evaluate_surveys'!$D25:$AE25)-MIN('2_evaluate_surveys'!$D25:$AE25))))</f>
        <v>1</v>
      </c>
      <c r="R22" s="72">
        <f>IF((MAX('2_evaluate_surveys'!$D25:$AE25)-MIN('2_evaluate_surveys'!$D25:$AE25))=0,0,(('2_evaluate_surveys'!R25-MIN('2_evaluate_surveys'!$D25:$AE25))/(MAX('2_evaluate_surveys'!$D25:$AE25)-MIN('2_evaluate_surveys'!$D25:$AE25))))</f>
        <v>1</v>
      </c>
      <c r="S22" s="72">
        <f>IF((MAX('2_evaluate_surveys'!$D25:$AE25)-MIN('2_evaluate_surveys'!$D25:$AE25))=0,0,(('2_evaluate_surveys'!S25-MIN('2_evaluate_surveys'!$D25:$AE25))/(MAX('2_evaluate_surveys'!$D25:$AE25)-MIN('2_evaluate_surveys'!$D25:$AE25))))</f>
        <v>1</v>
      </c>
      <c r="T22" s="72">
        <f>IF((MAX('2_evaluate_surveys'!$D25:$AE25)-MIN('2_evaluate_surveys'!$D25:$AE25))=0,0,(('2_evaluate_surveys'!T25-MIN('2_evaluate_surveys'!$D25:$AE25))/(MAX('2_evaluate_surveys'!$D25:$AE25)-MIN('2_evaluate_surveys'!$D25:$AE25))))</f>
        <v>0</v>
      </c>
      <c r="U22" s="72">
        <f>IF((MAX('2_evaluate_surveys'!$D25:$AE25)-MIN('2_evaluate_surveys'!$D25:$AE25))=0,0,(('2_evaluate_surveys'!U25-MIN('2_evaluate_surveys'!$D25:$AE25))/(MAX('2_evaluate_surveys'!$D25:$AE25)-MIN('2_evaluate_surveys'!$D25:$AE25))))</f>
        <v>1</v>
      </c>
      <c r="V22" s="72">
        <f>IF((MAX('2_evaluate_surveys'!$D25:$AE25)-MIN('2_evaluate_surveys'!$D25:$AE25))=0,0,(('2_evaluate_surveys'!V25-MIN('2_evaluate_surveys'!$D25:$AE25))/(MAX('2_evaluate_surveys'!$D25:$AE25)-MIN('2_evaluate_surveys'!$D25:$AE25))))</f>
        <v>1</v>
      </c>
      <c r="W22" s="72">
        <f>IF((MAX('2_evaluate_surveys'!$D25:$AE25)-MIN('2_evaluate_surveys'!$D25:$AE25))=0,0,(('2_evaluate_surveys'!W25-MIN('2_evaluate_surveys'!$D25:$AE25))/(MAX('2_evaluate_surveys'!$D25:$AE25)-MIN('2_evaluate_surveys'!$D25:$AE25))))</f>
        <v>1</v>
      </c>
      <c r="X22" s="72">
        <f>IF((MAX('2_evaluate_surveys'!$D25:$AE25)-MIN('2_evaluate_surveys'!$D25:$AE25))=0,0,(('2_evaluate_surveys'!X25-MIN('2_evaluate_surveys'!$D25:$AE25))/(MAX('2_evaluate_surveys'!$D25:$AE25)-MIN('2_evaluate_surveys'!$D25:$AE25))))</f>
        <v>0.5</v>
      </c>
      <c r="Y22" s="72">
        <f>IF((MAX('2_evaluate_surveys'!$D25:$AE25)-MIN('2_evaluate_surveys'!$D25:$AE25))=0,0,(('2_evaluate_surveys'!Y25-MIN('2_evaluate_surveys'!$D25:$AE25))/(MAX('2_evaluate_surveys'!$D25:$AE25)-MIN('2_evaluate_surveys'!$D25:$AE25))))</f>
        <v>0.5</v>
      </c>
      <c r="Z22" s="72">
        <f>IF((MAX('2_evaluate_surveys'!$D25:$AE25)-MIN('2_evaluate_surveys'!$D25:$AE25))=0,0,(('2_evaluate_surveys'!Z25-MIN('2_evaluate_surveys'!$D25:$AE25))/(MAX('2_evaluate_surveys'!$D25:$AE25)-MIN('2_evaluate_surveys'!$D25:$AE25))))</f>
        <v>0.5</v>
      </c>
      <c r="AA22" s="72">
        <f>IF((MAX('2_evaluate_surveys'!$D25:$AE25)-MIN('2_evaluate_surveys'!$D25:$AE25))=0,0,(('2_evaluate_surveys'!AA25-MIN('2_evaluate_surveys'!$D25:$AE25))/(MAX('2_evaluate_surveys'!$D25:$AE25)-MIN('2_evaluate_surveys'!$D25:$AE25))))</f>
        <v>0.5</v>
      </c>
      <c r="AB22" s="72">
        <f>IF((MAX('2_evaluate_surveys'!$D25:$AE25)-MIN('2_evaluate_surveys'!$D25:$AE25))=0,0,(('2_evaluate_surveys'!AB25-MIN('2_evaluate_surveys'!$D25:$AE25))/(MAX('2_evaluate_surveys'!$D25:$AE25)-MIN('2_evaluate_surveys'!$D25:$AE25))))</f>
        <v>1</v>
      </c>
      <c r="AC22" s="72">
        <f>IF((MAX('2_evaluate_surveys'!$D25:$AE25)-MIN('2_evaluate_surveys'!$D25:$AE25))=0,0,(('2_evaluate_surveys'!AC25-MIN('2_evaluate_surveys'!$D25:$AE25))/(MAX('2_evaluate_surveys'!$D25:$AE25)-MIN('2_evaluate_surveys'!$D25:$AE25))))</f>
        <v>1</v>
      </c>
      <c r="AD22" s="72">
        <f>IF((MAX('2_evaluate_surveys'!$D25:$AE25)-MIN('2_evaluate_surveys'!$D25:$AE25))=0,0,(('2_evaluate_surveys'!AD25-MIN('2_evaluate_surveys'!$D25:$AE25))/(MAX('2_evaluate_surveys'!$D25:$AE25)-MIN('2_evaluate_surveys'!$D25:$AE25))))</f>
        <v>1</v>
      </c>
      <c r="AE22" s="72">
        <f>IF((MAX('2_evaluate_surveys'!$D25:$AE25)-MIN('2_evaluate_surveys'!$D25:$AE25))=0,0,(('2_evaluate_surveys'!AE25-MIN('2_evaluate_surveys'!$D25:$AE25))/(MAX('2_evaluate_surveys'!$D25:$AE25)-MIN('2_evaluate_surveys'!$D25:$AE25))))</f>
        <v>1</v>
      </c>
      <c r="AF22" s="72">
        <f>IF((MAX('2_evaluate_surveys'!$D25:$AE25)-MIN('2_evaluate_surveys'!$D25:$AE25))=0,0,(('2_evaluate_surveys'!AF25-MIN('2_evaluate_surveys'!$D25:$AE25))/(MAX('2_evaluate_surveys'!$D25:$AE25)-MIN('2_evaluate_surveys'!$D25:$AE25))))</f>
        <v>1</v>
      </c>
      <c r="AG22" s="72">
        <f>IF((MAX('2_evaluate_surveys'!$D25:$AE25)-MIN('2_evaluate_surveys'!$D25:$AE25))=0,0,(('2_evaluate_surveys'!AG25-MIN('2_evaluate_surveys'!$D25:$AE25))/(MAX('2_evaluate_surveys'!$D25:$AE25)-MIN('2_evaluate_surveys'!$D25:$AE25))))</f>
        <v>0.5</v>
      </c>
      <c r="AH22" s="72">
        <f>IF((MAX('2_evaluate_surveys'!$D25:$AE25)-MIN('2_evaluate_surveys'!$D25:$AE25))=0,0,(('2_evaluate_surveys'!AH25-MIN('2_evaluate_surveys'!$D25:$AE25))/(MAX('2_evaluate_surveys'!$D25:$AE25)-MIN('2_evaluate_surveys'!$D25:$AE25))))</f>
        <v>1</v>
      </c>
    </row>
    <row r="23" spans="1:35" s="72" customFormat="1" x14ac:dyDescent="0.35">
      <c r="A23" s="135"/>
      <c r="B23" s="136"/>
      <c r="C23" s="134"/>
      <c r="D23" s="103"/>
      <c r="E23" s="103"/>
      <c r="F23" s="103"/>
    </row>
    <row r="24" spans="1:35" s="72" customFormat="1" x14ac:dyDescent="0.35">
      <c r="A24" s="135"/>
      <c r="B24" s="136"/>
      <c r="C24" s="134"/>
      <c r="D24" s="103"/>
      <c r="E24" s="103"/>
      <c r="F24" s="103"/>
    </row>
    <row r="25" spans="1:35" ht="13.15" thickBot="1" x14ac:dyDescent="0.4">
      <c r="A25" s="125" t="s">
        <v>100</v>
      </c>
      <c r="B25" s="126"/>
      <c r="C25" s="126"/>
      <c r="D25" s="126"/>
      <c r="E25" s="126"/>
      <c r="F25" s="126"/>
      <c r="G25" s="126"/>
      <c r="H25" s="104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</row>
    <row r="26" spans="1:35" ht="13.15" x14ac:dyDescent="0.35">
      <c r="A26" s="356" t="s">
        <v>101</v>
      </c>
      <c r="B26" s="357"/>
      <c r="C26" s="109"/>
      <c r="D26" s="109"/>
      <c r="E26" s="358" t="s">
        <v>84</v>
      </c>
      <c r="F26" s="358"/>
      <c r="G26" s="359"/>
      <c r="H26" s="150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</row>
    <row r="27" spans="1:35" ht="13.15" x14ac:dyDescent="0.35">
      <c r="A27" s="340" t="s">
        <v>16</v>
      </c>
      <c r="B27" s="341"/>
      <c r="C27" s="105" t="s">
        <v>96</v>
      </c>
      <c r="D27" s="110" t="s">
        <v>102</v>
      </c>
      <c r="E27" s="107" t="str">
        <f>background_calculations!$D$5</f>
        <v>Fish survey</v>
      </c>
      <c r="F27" s="107" t="str">
        <f>background_calculations!$E$5</f>
        <v>Waterfowl survey</v>
      </c>
      <c r="G27" s="108" t="str">
        <f>background_calculations!$F$5</f>
        <v>Marshbird Survey</v>
      </c>
      <c r="H27" s="150" t="str">
        <f>background_calculations!$G$5</f>
        <v>Fox Snake Survey</v>
      </c>
      <c r="I27" s="72" t="str">
        <f>background_calculations!$H$5</f>
        <v>Blanding's Turtle Survey</v>
      </c>
      <c r="J27" s="72" t="str">
        <f>background_calculations!$I$5</f>
        <v>Northern Flicker Survey</v>
      </c>
      <c r="K27" s="72" t="str">
        <f>background_calculations!$J$5</f>
        <v>Rusty Blackbird Survey</v>
      </c>
      <c r="L27" s="72" t="str">
        <f>background_calculations!$K$5</f>
        <v>American Woodcock Survey</v>
      </c>
      <c r="M27" s="72" t="str">
        <f>background_calculations!$L$5</f>
        <v>Shorebird Survey</v>
      </c>
      <c r="N27" s="72" t="str">
        <f>background_calculations!$M$5</f>
        <v>Treatment Evaluation of Phragmites, invasive cattail, reed canary grass</v>
      </c>
      <c r="O27" s="72" t="str">
        <f>background_calculations!$N$5</f>
        <v>Wetland Vegetation Cover Survey with annual summary of mean daily Lake Erie water level/water level management.</v>
      </c>
      <c r="P27" s="72" t="str">
        <f>background_calculations!$O$5</f>
        <v>Eastern Prairie Fringed Orchid</v>
      </c>
      <c r="Q27" s="72" t="str">
        <f>background_calculations!$P$5</f>
        <v>Wet Prairie Monitoring</v>
      </c>
      <c r="R27" s="72" t="str">
        <f>background_calculations!$Q$5</f>
        <v>Gibraltar Wetlands Forest Invasives Inventory</v>
      </c>
      <c r="S27" s="72" t="str">
        <f>background_calculations!$R$5</f>
        <v>Humbug Marsh Deer Browse Evaluation</v>
      </c>
      <c r="T27" s="72" t="str">
        <f>background_calculations!$S$5</f>
        <v xml:space="preserve">Phragmites Reduction: Comparison via remote-sensing of 2017 Imagery to 2009 Baseline </v>
      </c>
      <c r="U27" s="72" t="str">
        <f>background_calculations!$T$5</f>
        <v>Multi-agency water quality in the lower Detroit River and the western Lake Erie basin.</v>
      </c>
      <c r="V27" s="72" t="str">
        <f>background_calculations!$U$5</f>
        <v>Muskrat Monitoring</v>
      </c>
      <c r="W27" s="72" t="str">
        <f>background_calculations!$V$5</f>
        <v>Impoundment water levels</v>
      </c>
      <c r="X27" s="72" t="str">
        <f>background_calculations!$W$5</f>
        <v>Forest Ecological Inventory</v>
      </c>
      <c r="Y27" s="72" t="str">
        <f>background_calculations!$X$5</f>
        <v>Bald Eagle Monitoring</v>
      </c>
      <c r="Z27" s="72" t="str">
        <f>background_calculations!$Y$5</f>
        <v>Coordinated Canvasback Survey</v>
      </c>
      <c r="AA27" s="72" t="str">
        <f>background_calculations!$Z$5</f>
        <v>Lower Great Lakes January Waterfowl Survey (as part of Mid-Winter Waterfowl Survey)</v>
      </c>
      <c r="AB27" s="72" t="str">
        <f>background_calculations!$AA$5</f>
        <v xml:space="preserve">Lake sturgeon </v>
      </c>
      <c r="AC27" s="72" t="str">
        <f>background_calculations!$AB$5</f>
        <v>HGM</v>
      </c>
      <c r="AD27" s="72" t="str">
        <f>background_calculations!$AC$5</f>
        <v>Grassy Island ground water monitoring</v>
      </c>
      <c r="AE27" s="72" t="str">
        <f>background_calculations!$AD$5</f>
        <v>NOAA lake level monitoring</v>
      </c>
      <c r="AF27" s="72" t="str">
        <f>background_calculations!AE$5</f>
        <v>USGS stream gauge monitoring</v>
      </c>
      <c r="AG27" s="72" t="str">
        <f>background_calculations!AF$5</f>
        <v>Aerial Deer Survey</v>
      </c>
      <c r="AH27" s="72" t="str">
        <f>background_calculations!AG$5</f>
        <v>Detroit River Hawk Watch</v>
      </c>
      <c r="AI27" s="72" t="str">
        <f>background_calculations!AH$5</f>
        <v>Common Tern Monitoring</v>
      </c>
    </row>
    <row r="28" spans="1:35" x14ac:dyDescent="0.35">
      <c r="A28" s="139">
        <v>1</v>
      </c>
      <c r="B28" s="137" t="s">
        <v>22</v>
      </c>
      <c r="C28" s="141" t="s">
        <v>97</v>
      </c>
      <c r="D28" s="145">
        <f>'1_weight_criteria'!F18</f>
        <v>0.10303687635574837</v>
      </c>
      <c r="E28" s="146">
        <f t="shared" ref="E28:AF28" si="0">D6*$D28</f>
        <v>0</v>
      </c>
      <c r="F28" s="146">
        <f t="shared" si="0"/>
        <v>0</v>
      </c>
      <c r="G28" s="146">
        <f t="shared" si="0"/>
        <v>0</v>
      </c>
      <c r="H28" s="150">
        <f t="shared" si="0"/>
        <v>0</v>
      </c>
      <c r="I28" s="72">
        <f t="shared" si="0"/>
        <v>0</v>
      </c>
      <c r="J28" s="72">
        <f t="shared" si="0"/>
        <v>0</v>
      </c>
      <c r="K28" s="72">
        <f t="shared" si="0"/>
        <v>0</v>
      </c>
      <c r="L28" s="72">
        <f t="shared" si="0"/>
        <v>0</v>
      </c>
      <c r="M28" s="72">
        <f t="shared" si="0"/>
        <v>0</v>
      </c>
      <c r="N28" s="72">
        <f t="shared" si="0"/>
        <v>0</v>
      </c>
      <c r="O28" s="72">
        <f t="shared" si="0"/>
        <v>0</v>
      </c>
      <c r="P28" s="72">
        <f t="shared" si="0"/>
        <v>0</v>
      </c>
      <c r="Q28" s="72">
        <f t="shared" si="0"/>
        <v>0</v>
      </c>
      <c r="R28" s="72">
        <f t="shared" si="0"/>
        <v>0</v>
      </c>
      <c r="S28" s="72">
        <f t="shared" si="0"/>
        <v>0</v>
      </c>
      <c r="T28" s="72">
        <f t="shared" si="0"/>
        <v>0</v>
      </c>
      <c r="U28" s="72">
        <f t="shared" si="0"/>
        <v>0</v>
      </c>
      <c r="V28" s="72">
        <f t="shared" si="0"/>
        <v>0</v>
      </c>
      <c r="W28" s="72">
        <f t="shared" si="0"/>
        <v>0</v>
      </c>
      <c r="X28" s="72">
        <f t="shared" si="0"/>
        <v>0</v>
      </c>
      <c r="Y28" s="72">
        <f t="shared" si="0"/>
        <v>0</v>
      </c>
      <c r="Z28" s="72">
        <f t="shared" si="0"/>
        <v>0</v>
      </c>
      <c r="AA28" s="72">
        <f t="shared" si="0"/>
        <v>0</v>
      </c>
      <c r="AB28" s="72">
        <f t="shared" si="0"/>
        <v>0</v>
      </c>
      <c r="AC28" s="72">
        <f t="shared" si="0"/>
        <v>0</v>
      </c>
      <c r="AD28" s="72">
        <f t="shared" si="0"/>
        <v>0</v>
      </c>
      <c r="AE28" s="72">
        <f t="shared" si="0"/>
        <v>0</v>
      </c>
      <c r="AF28" s="72">
        <f t="shared" si="0"/>
        <v>0</v>
      </c>
      <c r="AG28" s="72">
        <f t="shared" ref="AG28:AG44" si="1">AF6*$D28</f>
        <v>0</v>
      </c>
      <c r="AH28" s="72">
        <f t="shared" ref="AH28:AH44" si="2">AG6*$D28</f>
        <v>0</v>
      </c>
      <c r="AI28" s="72">
        <f t="shared" ref="AI28:AI44" si="3">AH6*$D28</f>
        <v>0</v>
      </c>
    </row>
    <row r="29" spans="1:35" x14ac:dyDescent="0.35">
      <c r="A29" s="139">
        <v>2</v>
      </c>
      <c r="B29" s="137" t="s">
        <v>24</v>
      </c>
      <c r="C29" s="141" t="s">
        <v>97</v>
      </c>
      <c r="D29" s="145">
        <f>'1_weight_criteria'!F19</f>
        <v>5.4229934924078092E-2</v>
      </c>
      <c r="E29" s="146">
        <f t="shared" ref="E29:AF29" si="4">D7*$D29</f>
        <v>5.4229934924078092E-2</v>
      </c>
      <c r="F29" s="146">
        <f t="shared" si="4"/>
        <v>5.4229934924078092E-2</v>
      </c>
      <c r="G29" s="146">
        <f t="shared" si="4"/>
        <v>5.4229934924078092E-2</v>
      </c>
      <c r="H29" s="150">
        <f t="shared" si="4"/>
        <v>5.4229934924078092E-2</v>
      </c>
      <c r="I29" s="72">
        <f t="shared" si="4"/>
        <v>5.4229934924078092E-2</v>
      </c>
      <c r="J29" s="72">
        <f t="shared" si="4"/>
        <v>5.4229934924078092E-2</v>
      </c>
      <c r="K29" s="72">
        <f t="shared" si="4"/>
        <v>5.4229934924078092E-2</v>
      </c>
      <c r="L29" s="72">
        <f t="shared" si="4"/>
        <v>5.4229934924078092E-2</v>
      </c>
      <c r="M29" s="72">
        <f t="shared" si="4"/>
        <v>5.4229934924078092E-2</v>
      </c>
      <c r="N29" s="72">
        <f t="shared" si="4"/>
        <v>0</v>
      </c>
      <c r="O29" s="72">
        <f t="shared" si="4"/>
        <v>5.4229934924078092E-2</v>
      </c>
      <c r="P29" s="72">
        <f t="shared" si="4"/>
        <v>5.4229934924078092E-2</v>
      </c>
      <c r="Q29" s="72">
        <f t="shared" si="4"/>
        <v>5.4229934924078092E-2</v>
      </c>
      <c r="R29" s="72">
        <f t="shared" si="4"/>
        <v>5.4229934924078092E-2</v>
      </c>
      <c r="S29" s="72">
        <f t="shared" si="4"/>
        <v>0</v>
      </c>
      <c r="T29" s="72">
        <f t="shared" si="4"/>
        <v>0</v>
      </c>
      <c r="U29" s="72">
        <f t="shared" si="4"/>
        <v>0</v>
      </c>
      <c r="V29" s="72">
        <f t="shared" si="4"/>
        <v>0</v>
      </c>
      <c r="W29" s="72">
        <f t="shared" si="4"/>
        <v>5.4229934924078092E-2</v>
      </c>
      <c r="X29" s="72">
        <f t="shared" si="4"/>
        <v>5.4229934924078092E-2</v>
      </c>
      <c r="Y29" s="72">
        <f t="shared" si="4"/>
        <v>5.4229934924078092E-2</v>
      </c>
      <c r="Z29" s="72">
        <f t="shared" si="4"/>
        <v>5.4229934924078092E-2</v>
      </c>
      <c r="AA29" s="72">
        <f t="shared" si="4"/>
        <v>5.4229934924078092E-2</v>
      </c>
      <c r="AB29" s="72">
        <f t="shared" si="4"/>
        <v>5.4229934924078092E-2</v>
      </c>
      <c r="AC29" s="72">
        <f t="shared" si="4"/>
        <v>5.4229934924078092E-2</v>
      </c>
      <c r="AD29" s="72">
        <f t="shared" si="4"/>
        <v>5.4229934924078092E-2</v>
      </c>
      <c r="AE29" s="72">
        <f t="shared" si="4"/>
        <v>5.4229934924078092E-2</v>
      </c>
      <c r="AF29" s="72">
        <f t="shared" si="4"/>
        <v>5.4229934924078092E-2</v>
      </c>
      <c r="AG29" s="72">
        <f t="shared" si="1"/>
        <v>0</v>
      </c>
      <c r="AH29" s="72">
        <f t="shared" si="2"/>
        <v>0</v>
      </c>
      <c r="AI29" s="72">
        <f t="shared" si="3"/>
        <v>0</v>
      </c>
    </row>
    <row r="30" spans="1:35" x14ac:dyDescent="0.35">
      <c r="A30" s="139">
        <v>3</v>
      </c>
      <c r="B30" s="137" t="s">
        <v>98</v>
      </c>
      <c r="C30" s="141" t="s">
        <v>97</v>
      </c>
      <c r="D30" s="145">
        <f>'1_weight_criteria'!F20</f>
        <v>7.2668112798264642E-2</v>
      </c>
      <c r="E30" s="146">
        <f t="shared" ref="E30:AF30" si="5">D8*$D30</f>
        <v>0</v>
      </c>
      <c r="F30" s="146">
        <f t="shared" si="5"/>
        <v>7.2668112798264642E-2</v>
      </c>
      <c r="G30" s="146">
        <f t="shared" si="5"/>
        <v>7.2668112798264642E-2</v>
      </c>
      <c r="H30" s="150">
        <f t="shared" si="5"/>
        <v>0</v>
      </c>
      <c r="I30" s="72">
        <f t="shared" si="5"/>
        <v>0</v>
      </c>
      <c r="J30" s="72">
        <f t="shared" si="5"/>
        <v>0</v>
      </c>
      <c r="K30" s="72">
        <f t="shared" si="5"/>
        <v>0</v>
      </c>
      <c r="L30" s="72">
        <f t="shared" si="5"/>
        <v>0</v>
      </c>
      <c r="M30" s="72">
        <f t="shared" si="5"/>
        <v>0</v>
      </c>
      <c r="N30" s="72">
        <f t="shared" si="5"/>
        <v>7.2668112798264642E-2</v>
      </c>
      <c r="O30" s="72">
        <f t="shared" si="5"/>
        <v>7.2668112798264642E-2</v>
      </c>
      <c r="P30" s="72">
        <f t="shared" si="5"/>
        <v>7.2668112798264642E-2</v>
      </c>
      <c r="Q30" s="72">
        <f t="shared" si="5"/>
        <v>7.2668112798264642E-2</v>
      </c>
      <c r="R30" s="72">
        <f t="shared" si="5"/>
        <v>7.2668112798264642E-2</v>
      </c>
      <c r="S30" s="72">
        <f t="shared" si="5"/>
        <v>7.2668112798264642E-2</v>
      </c>
      <c r="T30" s="72">
        <f t="shared" si="5"/>
        <v>7.2668112798264642E-2</v>
      </c>
      <c r="U30" s="72">
        <f t="shared" si="5"/>
        <v>0</v>
      </c>
      <c r="V30" s="72">
        <f t="shared" si="5"/>
        <v>7.2668112798264642E-2</v>
      </c>
      <c r="W30" s="72">
        <f t="shared" si="5"/>
        <v>7.2668112798264642E-2</v>
      </c>
      <c r="X30" s="72">
        <f t="shared" si="5"/>
        <v>7.2668112798264642E-2</v>
      </c>
      <c r="Y30" s="72">
        <f t="shared" si="5"/>
        <v>0</v>
      </c>
      <c r="Z30" s="72">
        <f t="shared" si="5"/>
        <v>0</v>
      </c>
      <c r="AA30" s="72">
        <f t="shared" si="5"/>
        <v>0</v>
      </c>
      <c r="AB30" s="72">
        <f t="shared" si="5"/>
        <v>0</v>
      </c>
      <c r="AC30" s="72">
        <f t="shared" si="5"/>
        <v>7.2668112798264642E-2</v>
      </c>
      <c r="AD30" s="72">
        <f t="shared" si="5"/>
        <v>7.2668112798264642E-2</v>
      </c>
      <c r="AE30" s="72">
        <f t="shared" si="5"/>
        <v>7.2668112798264642E-2</v>
      </c>
      <c r="AF30" s="72">
        <f t="shared" si="5"/>
        <v>7.2668112798264642E-2</v>
      </c>
      <c r="AG30" s="72">
        <f t="shared" si="1"/>
        <v>7.2668112798264642E-2</v>
      </c>
      <c r="AH30" s="72">
        <f t="shared" si="2"/>
        <v>0</v>
      </c>
      <c r="AI30" s="72">
        <f t="shared" si="3"/>
        <v>0</v>
      </c>
    </row>
    <row r="31" spans="1:35" x14ac:dyDescent="0.35">
      <c r="A31" s="139">
        <v>4</v>
      </c>
      <c r="B31" s="137" t="s">
        <v>26</v>
      </c>
      <c r="C31" s="141" t="s">
        <v>97</v>
      </c>
      <c r="D31" s="145">
        <f>'1_weight_criteria'!F21</f>
        <v>3.5249457700650758E-2</v>
      </c>
      <c r="E31" s="146">
        <f t="shared" ref="E31:AF31" si="6">D9*$D31</f>
        <v>0</v>
      </c>
      <c r="F31" s="146">
        <f t="shared" si="6"/>
        <v>0</v>
      </c>
      <c r="G31" s="146">
        <f t="shared" si="6"/>
        <v>0</v>
      </c>
      <c r="H31" s="150">
        <f t="shared" si="6"/>
        <v>0</v>
      </c>
      <c r="I31" s="72">
        <f t="shared" si="6"/>
        <v>0</v>
      </c>
      <c r="J31" s="72">
        <f t="shared" si="6"/>
        <v>0</v>
      </c>
      <c r="K31" s="72">
        <f t="shared" si="6"/>
        <v>0</v>
      </c>
      <c r="L31" s="72">
        <f t="shared" si="6"/>
        <v>0</v>
      </c>
      <c r="M31" s="72">
        <f t="shared" si="6"/>
        <v>0</v>
      </c>
      <c r="N31" s="72">
        <f t="shared" si="6"/>
        <v>0</v>
      </c>
      <c r="O31" s="72">
        <f t="shared" si="6"/>
        <v>0</v>
      </c>
      <c r="P31" s="72">
        <f t="shared" si="6"/>
        <v>0</v>
      </c>
      <c r="Q31" s="72">
        <f t="shared" si="6"/>
        <v>0</v>
      </c>
      <c r="R31" s="72">
        <f t="shared" si="6"/>
        <v>0</v>
      </c>
      <c r="S31" s="72">
        <f t="shared" si="6"/>
        <v>0</v>
      </c>
      <c r="T31" s="72">
        <f t="shared" si="6"/>
        <v>3.5249457700650758E-2</v>
      </c>
      <c r="U31" s="72">
        <f t="shared" si="6"/>
        <v>0</v>
      </c>
      <c r="V31" s="72">
        <f t="shared" si="6"/>
        <v>0</v>
      </c>
      <c r="W31" s="72">
        <f t="shared" si="6"/>
        <v>0</v>
      </c>
      <c r="X31" s="72">
        <f t="shared" si="6"/>
        <v>0</v>
      </c>
      <c r="Y31" s="72">
        <f t="shared" si="6"/>
        <v>0</v>
      </c>
      <c r="Z31" s="72">
        <f t="shared" si="6"/>
        <v>0</v>
      </c>
      <c r="AA31" s="72">
        <f t="shared" si="6"/>
        <v>0</v>
      </c>
      <c r="AB31" s="72">
        <f t="shared" si="6"/>
        <v>0</v>
      </c>
      <c r="AC31" s="72">
        <f t="shared" si="6"/>
        <v>0</v>
      </c>
      <c r="AD31" s="72">
        <f t="shared" si="6"/>
        <v>3.5249457700650758E-2</v>
      </c>
      <c r="AE31" s="72">
        <f t="shared" si="6"/>
        <v>0</v>
      </c>
      <c r="AF31" s="72">
        <f t="shared" si="6"/>
        <v>0</v>
      </c>
      <c r="AG31" s="72">
        <f t="shared" si="1"/>
        <v>3.5249457700650758E-2</v>
      </c>
      <c r="AH31" s="72">
        <f t="shared" si="2"/>
        <v>0</v>
      </c>
      <c r="AI31" s="72">
        <f t="shared" si="3"/>
        <v>0</v>
      </c>
    </row>
    <row r="32" spans="1:35" x14ac:dyDescent="0.35">
      <c r="A32" s="139">
        <v>5</v>
      </c>
      <c r="B32" s="137" t="s">
        <v>27</v>
      </c>
      <c r="C32" s="141" t="s">
        <v>97</v>
      </c>
      <c r="D32" s="145">
        <f>'1_weight_criteria'!F22</f>
        <v>4.7722342733188719E-2</v>
      </c>
      <c r="E32" s="146">
        <f t="shared" ref="E32:AF32" si="7">D10*$D32</f>
        <v>0</v>
      </c>
      <c r="F32" s="146">
        <f t="shared" si="7"/>
        <v>0</v>
      </c>
      <c r="G32" s="146">
        <f t="shared" si="7"/>
        <v>0</v>
      </c>
      <c r="H32" s="150">
        <f t="shared" si="7"/>
        <v>0</v>
      </c>
      <c r="I32" s="72">
        <f t="shared" si="7"/>
        <v>0</v>
      </c>
      <c r="J32" s="72">
        <f t="shared" si="7"/>
        <v>0</v>
      </c>
      <c r="K32" s="72">
        <f t="shared" si="7"/>
        <v>0</v>
      </c>
      <c r="L32" s="72">
        <f t="shared" si="7"/>
        <v>0</v>
      </c>
      <c r="M32" s="72">
        <f t="shared" si="7"/>
        <v>0</v>
      </c>
      <c r="N32" s="72">
        <f t="shared" si="7"/>
        <v>4.7722342733188719E-2</v>
      </c>
      <c r="O32" s="72">
        <f t="shared" si="7"/>
        <v>1.5907447577729571E-2</v>
      </c>
      <c r="P32" s="72">
        <f t="shared" si="7"/>
        <v>0</v>
      </c>
      <c r="Q32" s="72">
        <f t="shared" si="7"/>
        <v>1.5907447577729571E-2</v>
      </c>
      <c r="R32" s="72">
        <f t="shared" si="7"/>
        <v>4.7722342733188719E-2</v>
      </c>
      <c r="S32" s="72">
        <f t="shared" si="7"/>
        <v>4.7722342733188719E-2</v>
      </c>
      <c r="T32" s="72">
        <f t="shared" si="7"/>
        <v>4.7722342733188719E-2</v>
      </c>
      <c r="U32" s="72">
        <f t="shared" si="7"/>
        <v>0</v>
      </c>
      <c r="V32" s="72">
        <f t="shared" si="7"/>
        <v>0</v>
      </c>
      <c r="W32" s="72">
        <f t="shared" si="7"/>
        <v>0</v>
      </c>
      <c r="X32" s="72">
        <f t="shared" si="7"/>
        <v>1.5907447577729571E-2</v>
      </c>
      <c r="Y32" s="72">
        <f t="shared" si="7"/>
        <v>0</v>
      </c>
      <c r="Z32" s="72">
        <f t="shared" si="7"/>
        <v>0</v>
      </c>
      <c r="AA32" s="72">
        <f t="shared" si="7"/>
        <v>0</v>
      </c>
      <c r="AB32" s="72">
        <f t="shared" si="7"/>
        <v>0</v>
      </c>
      <c r="AC32" s="72">
        <f t="shared" si="7"/>
        <v>1.5907447577729571E-2</v>
      </c>
      <c r="AD32" s="72">
        <f t="shared" si="7"/>
        <v>1.5907447577729571E-2</v>
      </c>
      <c r="AE32" s="72">
        <f t="shared" si="7"/>
        <v>1.5907447577729571E-2</v>
      </c>
      <c r="AF32" s="72">
        <f t="shared" si="7"/>
        <v>1.5907447577729571E-2</v>
      </c>
      <c r="AG32" s="72">
        <f t="shared" si="1"/>
        <v>4.7722342733188719E-2</v>
      </c>
      <c r="AH32" s="72">
        <f t="shared" si="2"/>
        <v>0</v>
      </c>
      <c r="AI32" s="72">
        <f t="shared" si="3"/>
        <v>0</v>
      </c>
    </row>
    <row r="33" spans="1:35" s="72" customFormat="1" x14ac:dyDescent="0.35">
      <c r="A33" s="139">
        <v>6</v>
      </c>
      <c r="B33" s="137" t="s">
        <v>29</v>
      </c>
      <c r="C33" s="141" t="s">
        <v>97</v>
      </c>
      <c r="D33" s="145">
        <f>'1_weight_criteria'!F23</f>
        <v>6.2364425162689807E-2</v>
      </c>
      <c r="E33" s="146">
        <f t="shared" ref="E33:AF33" si="8">D11*$D33</f>
        <v>6.2364425162689807E-2</v>
      </c>
      <c r="F33" s="146">
        <f t="shared" si="8"/>
        <v>6.2364425162689807E-2</v>
      </c>
      <c r="G33" s="146">
        <f t="shared" si="8"/>
        <v>6.2364425162689807E-2</v>
      </c>
      <c r="H33" s="150">
        <f t="shared" si="8"/>
        <v>6.2364425162689807E-2</v>
      </c>
      <c r="I33" s="72">
        <f t="shared" si="8"/>
        <v>6.2364425162689807E-2</v>
      </c>
      <c r="J33" s="72">
        <f t="shared" si="8"/>
        <v>6.2364425162689807E-2</v>
      </c>
      <c r="K33" s="72">
        <f t="shared" si="8"/>
        <v>6.2364425162689807E-2</v>
      </c>
      <c r="L33" s="72">
        <f t="shared" si="8"/>
        <v>6.2364425162689807E-2</v>
      </c>
      <c r="M33" s="72">
        <f t="shared" si="8"/>
        <v>6.2364425162689807E-2</v>
      </c>
      <c r="N33" s="72">
        <f t="shared" si="8"/>
        <v>0</v>
      </c>
      <c r="O33" s="72">
        <f t="shared" si="8"/>
        <v>6.2364425162689807E-2</v>
      </c>
      <c r="P33" s="72">
        <f t="shared" si="8"/>
        <v>6.2364425162689807E-2</v>
      </c>
      <c r="Q33" s="72">
        <f t="shared" si="8"/>
        <v>6.2364425162689807E-2</v>
      </c>
      <c r="R33" s="72">
        <f t="shared" si="8"/>
        <v>6.2364425162689807E-2</v>
      </c>
      <c r="S33" s="72">
        <f t="shared" si="8"/>
        <v>6.2364425162689807E-2</v>
      </c>
      <c r="T33" s="72">
        <f t="shared" si="8"/>
        <v>0</v>
      </c>
      <c r="U33" s="72">
        <f t="shared" si="8"/>
        <v>6.2364425162689807E-2</v>
      </c>
      <c r="V33" s="72">
        <f t="shared" si="8"/>
        <v>0</v>
      </c>
      <c r="W33" s="72">
        <f t="shared" si="8"/>
        <v>0</v>
      </c>
      <c r="X33" s="72">
        <f t="shared" si="8"/>
        <v>6.2364425162689807E-2</v>
      </c>
      <c r="Y33" s="72">
        <f t="shared" si="8"/>
        <v>0</v>
      </c>
      <c r="Z33" s="72">
        <f t="shared" si="8"/>
        <v>0</v>
      </c>
      <c r="AA33" s="72">
        <f t="shared" si="8"/>
        <v>0</v>
      </c>
      <c r="AB33" s="72">
        <f t="shared" si="8"/>
        <v>0</v>
      </c>
      <c r="AC33" s="72">
        <f t="shared" si="8"/>
        <v>6.2364425162689807E-2</v>
      </c>
      <c r="AD33" s="72">
        <f t="shared" si="8"/>
        <v>6.2364425162689807E-2</v>
      </c>
      <c r="AE33" s="72">
        <f t="shared" si="8"/>
        <v>6.2364425162689807E-2</v>
      </c>
      <c r="AF33" s="72">
        <f t="shared" si="8"/>
        <v>6.2364425162689807E-2</v>
      </c>
      <c r="AG33" s="72">
        <f t="shared" si="1"/>
        <v>6.2364425162689807E-2</v>
      </c>
      <c r="AH33" s="72">
        <f t="shared" si="2"/>
        <v>0</v>
      </c>
      <c r="AI33" s="72">
        <f t="shared" si="3"/>
        <v>0</v>
      </c>
    </row>
    <row r="34" spans="1:35" x14ac:dyDescent="0.35">
      <c r="A34" s="139">
        <v>7</v>
      </c>
      <c r="B34" s="137" t="s">
        <v>30</v>
      </c>
      <c r="C34" s="141" t="s">
        <v>97</v>
      </c>
      <c r="D34" s="145">
        <f>'1_weight_criteria'!F24</f>
        <v>4.3383947939262472E-2</v>
      </c>
      <c r="E34" s="146">
        <f t="shared" ref="E34:AF34" si="9">D12*$D34</f>
        <v>1.4461315979754157E-2</v>
      </c>
      <c r="F34" s="146">
        <f t="shared" si="9"/>
        <v>1.4461315979754157E-2</v>
      </c>
      <c r="G34" s="146">
        <f t="shared" si="9"/>
        <v>1.4461315979754157E-2</v>
      </c>
      <c r="H34" s="150">
        <f t="shared" si="9"/>
        <v>1.4461315979754157E-2</v>
      </c>
      <c r="I34" s="72">
        <f t="shared" si="9"/>
        <v>0</v>
      </c>
      <c r="J34" s="72">
        <f t="shared" si="9"/>
        <v>0</v>
      </c>
      <c r="K34" s="72">
        <f t="shared" si="9"/>
        <v>0</v>
      </c>
      <c r="L34" s="72">
        <f t="shared" si="9"/>
        <v>0</v>
      </c>
      <c r="M34" s="72">
        <f t="shared" si="9"/>
        <v>0</v>
      </c>
      <c r="N34" s="72">
        <f t="shared" si="9"/>
        <v>0</v>
      </c>
      <c r="O34" s="72">
        <f t="shared" si="9"/>
        <v>0</v>
      </c>
      <c r="P34" s="72">
        <f t="shared" si="9"/>
        <v>4.3383947939262472E-2</v>
      </c>
      <c r="Q34" s="72">
        <f t="shared" si="9"/>
        <v>1.4461315979754157E-2</v>
      </c>
      <c r="R34" s="72">
        <f t="shared" si="9"/>
        <v>0</v>
      </c>
      <c r="S34" s="72">
        <f t="shared" si="9"/>
        <v>0</v>
      </c>
      <c r="T34" s="72">
        <f t="shared" si="9"/>
        <v>0</v>
      </c>
      <c r="U34" s="72">
        <f t="shared" si="9"/>
        <v>0</v>
      </c>
      <c r="V34" s="72">
        <f t="shared" si="9"/>
        <v>0</v>
      </c>
      <c r="W34" s="72">
        <f t="shared" si="9"/>
        <v>0</v>
      </c>
      <c r="X34" s="72">
        <f t="shared" si="9"/>
        <v>1.4461315979754157E-2</v>
      </c>
      <c r="Y34" s="72">
        <f t="shared" si="9"/>
        <v>1.4461315979754157E-2</v>
      </c>
      <c r="Z34" s="72">
        <f t="shared" si="9"/>
        <v>0</v>
      </c>
      <c r="AA34" s="72">
        <f t="shared" si="9"/>
        <v>0</v>
      </c>
      <c r="AB34" s="72">
        <f t="shared" si="9"/>
        <v>1.4461315979754157E-2</v>
      </c>
      <c r="AC34" s="72">
        <f t="shared" si="9"/>
        <v>0</v>
      </c>
      <c r="AD34" s="72">
        <f t="shared" si="9"/>
        <v>0</v>
      </c>
      <c r="AE34" s="72">
        <f t="shared" si="9"/>
        <v>1.4461315979754157E-2</v>
      </c>
      <c r="AF34" s="72">
        <f t="shared" si="9"/>
        <v>1.4461315979754157E-2</v>
      </c>
      <c r="AG34" s="72">
        <f t="shared" si="1"/>
        <v>2.8922631959508314E-2</v>
      </c>
      <c r="AH34" s="72">
        <f t="shared" si="2"/>
        <v>1.4461315979754157E-2</v>
      </c>
      <c r="AI34" s="72">
        <f t="shared" si="3"/>
        <v>1.4461315979754157E-2</v>
      </c>
    </row>
    <row r="35" spans="1:35" x14ac:dyDescent="0.35">
      <c r="A35" s="139">
        <v>8</v>
      </c>
      <c r="B35" s="137" t="s">
        <v>31</v>
      </c>
      <c r="C35" s="141" t="s">
        <v>97</v>
      </c>
      <c r="D35" s="145">
        <f>'1_weight_criteria'!F25</f>
        <v>7.2668112798264642E-2</v>
      </c>
      <c r="E35" s="146">
        <f t="shared" ref="E35:AF35" si="10">D13*$D35</f>
        <v>0</v>
      </c>
      <c r="F35" s="146">
        <f t="shared" si="10"/>
        <v>7.2668112798264642E-2</v>
      </c>
      <c r="G35" s="146">
        <f t="shared" si="10"/>
        <v>7.2668112798264642E-2</v>
      </c>
      <c r="H35" s="72">
        <f t="shared" si="10"/>
        <v>0</v>
      </c>
      <c r="I35" s="72">
        <f t="shared" si="10"/>
        <v>0</v>
      </c>
      <c r="J35" s="72">
        <f t="shared" si="10"/>
        <v>2.4222704266088212E-2</v>
      </c>
      <c r="K35" s="72">
        <f t="shared" si="10"/>
        <v>2.4222704266088212E-2</v>
      </c>
      <c r="L35" s="72">
        <f t="shared" si="10"/>
        <v>7.2668112798264642E-2</v>
      </c>
      <c r="M35" s="72">
        <f t="shared" si="10"/>
        <v>7.2668112798264642E-2</v>
      </c>
      <c r="N35" s="72">
        <f t="shared" si="10"/>
        <v>0</v>
      </c>
      <c r="O35" s="72">
        <f t="shared" si="10"/>
        <v>0</v>
      </c>
      <c r="P35" s="72">
        <f t="shared" si="10"/>
        <v>7.2668112798264642E-2</v>
      </c>
      <c r="Q35" s="72">
        <f t="shared" si="10"/>
        <v>0</v>
      </c>
      <c r="R35" s="72">
        <f t="shared" si="10"/>
        <v>0</v>
      </c>
      <c r="S35" s="72">
        <f t="shared" si="10"/>
        <v>0</v>
      </c>
      <c r="T35" s="72">
        <f t="shared" si="10"/>
        <v>0</v>
      </c>
      <c r="U35" s="72">
        <f t="shared" si="10"/>
        <v>0</v>
      </c>
      <c r="V35" s="72">
        <f t="shared" si="10"/>
        <v>0</v>
      </c>
      <c r="W35" s="72">
        <f t="shared" si="10"/>
        <v>0</v>
      </c>
      <c r="X35" s="72">
        <f t="shared" si="10"/>
        <v>0</v>
      </c>
      <c r="Y35" s="72">
        <f t="shared" si="10"/>
        <v>7.2668112798264642E-2</v>
      </c>
      <c r="Z35" s="72">
        <f t="shared" si="10"/>
        <v>7.2668112798264642E-2</v>
      </c>
      <c r="AA35" s="72">
        <f t="shared" si="10"/>
        <v>7.2668112798264642E-2</v>
      </c>
      <c r="AB35" s="72">
        <f t="shared" si="10"/>
        <v>4.8445408532176423E-2</v>
      </c>
      <c r="AC35" s="72">
        <f t="shared" si="10"/>
        <v>0</v>
      </c>
      <c r="AD35" s="72">
        <f t="shared" si="10"/>
        <v>2.4222704266088212E-2</v>
      </c>
      <c r="AE35" s="72">
        <f t="shared" si="10"/>
        <v>7.2668112798264642E-2</v>
      </c>
      <c r="AF35" s="72">
        <f t="shared" si="10"/>
        <v>7.2668112798264642E-2</v>
      </c>
      <c r="AG35" s="72">
        <f t="shared" si="1"/>
        <v>0</v>
      </c>
      <c r="AH35" s="72">
        <f t="shared" si="2"/>
        <v>2.4222704266088212E-2</v>
      </c>
      <c r="AI35" s="72">
        <f t="shared" si="3"/>
        <v>2.4222704266088212E-2</v>
      </c>
    </row>
    <row r="36" spans="1:35" x14ac:dyDescent="0.35">
      <c r="A36" s="139">
        <v>9</v>
      </c>
      <c r="B36" s="137" t="s">
        <v>32</v>
      </c>
      <c r="C36" s="141" t="s">
        <v>97</v>
      </c>
      <c r="D36" s="145">
        <f>'1_weight_criteria'!F26</f>
        <v>4.7722342733188719E-2</v>
      </c>
      <c r="E36" s="146">
        <f t="shared" ref="E36:AF36" si="11">D14*$D36</f>
        <v>0</v>
      </c>
      <c r="F36" s="146">
        <f t="shared" si="11"/>
        <v>0</v>
      </c>
      <c r="G36" s="146">
        <f t="shared" si="11"/>
        <v>0</v>
      </c>
      <c r="H36" s="72">
        <f t="shared" si="11"/>
        <v>0</v>
      </c>
      <c r="I36" s="72">
        <f t="shared" si="11"/>
        <v>0</v>
      </c>
      <c r="J36" s="72">
        <f t="shared" si="11"/>
        <v>0</v>
      </c>
      <c r="K36" s="72">
        <f t="shared" si="11"/>
        <v>0</v>
      </c>
      <c r="L36" s="72">
        <f t="shared" si="11"/>
        <v>0</v>
      </c>
      <c r="M36" s="72">
        <f t="shared" si="11"/>
        <v>0</v>
      </c>
      <c r="N36" s="72">
        <f t="shared" si="11"/>
        <v>0</v>
      </c>
      <c r="O36" s="72">
        <f t="shared" si="11"/>
        <v>0</v>
      </c>
      <c r="P36" s="72">
        <f t="shared" si="11"/>
        <v>0</v>
      </c>
      <c r="Q36" s="72">
        <f t="shared" si="11"/>
        <v>0</v>
      </c>
      <c r="R36" s="72">
        <f t="shared" si="11"/>
        <v>0</v>
      </c>
      <c r="S36" s="72">
        <f t="shared" si="11"/>
        <v>0</v>
      </c>
      <c r="T36" s="72">
        <f t="shared" si="11"/>
        <v>0</v>
      </c>
      <c r="U36" s="72">
        <f t="shared" si="11"/>
        <v>0</v>
      </c>
      <c r="V36" s="72">
        <f t="shared" si="11"/>
        <v>0</v>
      </c>
      <c r="W36" s="72">
        <f t="shared" si="11"/>
        <v>0</v>
      </c>
      <c r="X36" s="72">
        <f t="shared" si="11"/>
        <v>0</v>
      </c>
      <c r="Y36" s="72">
        <f t="shared" si="11"/>
        <v>0</v>
      </c>
      <c r="Z36" s="72">
        <f t="shared" si="11"/>
        <v>0</v>
      </c>
      <c r="AA36" s="72">
        <f t="shared" si="11"/>
        <v>0</v>
      </c>
      <c r="AB36" s="72">
        <f t="shared" si="11"/>
        <v>0</v>
      </c>
      <c r="AC36" s="72">
        <f t="shared" si="11"/>
        <v>0</v>
      </c>
      <c r="AD36" s="72">
        <f t="shared" si="11"/>
        <v>0</v>
      </c>
      <c r="AE36" s="72">
        <f t="shared" si="11"/>
        <v>0</v>
      </c>
      <c r="AF36" s="72">
        <f t="shared" si="11"/>
        <v>0</v>
      </c>
      <c r="AG36" s="72">
        <f t="shared" si="1"/>
        <v>0</v>
      </c>
      <c r="AH36" s="72">
        <f t="shared" si="2"/>
        <v>0</v>
      </c>
      <c r="AI36" s="72">
        <f t="shared" si="3"/>
        <v>0</v>
      </c>
    </row>
    <row r="37" spans="1:35" x14ac:dyDescent="0.35">
      <c r="A37" s="139">
        <v>10</v>
      </c>
      <c r="B37" s="137" t="s">
        <v>33</v>
      </c>
      <c r="C37" s="141" t="s">
        <v>97</v>
      </c>
      <c r="D37" s="145">
        <f>'1_weight_criteria'!F27</f>
        <v>5.6941431670281997E-2</v>
      </c>
      <c r="E37" s="146">
        <f t="shared" ref="E37:AF37" si="12">D15*$D37</f>
        <v>1.8980477223427331E-2</v>
      </c>
      <c r="F37" s="146">
        <f t="shared" si="12"/>
        <v>5.6941431670281997E-2</v>
      </c>
      <c r="G37" s="146">
        <f t="shared" si="12"/>
        <v>1.8980477223427331E-2</v>
      </c>
      <c r="H37" s="72">
        <f t="shared" si="12"/>
        <v>0</v>
      </c>
      <c r="I37" s="72">
        <f t="shared" si="12"/>
        <v>0</v>
      </c>
      <c r="J37" s="72">
        <f t="shared" si="12"/>
        <v>0</v>
      </c>
      <c r="K37" s="72">
        <f t="shared" si="12"/>
        <v>0</v>
      </c>
      <c r="L37" s="72">
        <f t="shared" si="12"/>
        <v>0</v>
      </c>
      <c r="M37" s="72">
        <f t="shared" si="12"/>
        <v>1.8980477223427331E-2</v>
      </c>
      <c r="N37" s="72">
        <f t="shared" si="12"/>
        <v>5.6941431670281997E-2</v>
      </c>
      <c r="O37" s="72">
        <f t="shared" si="12"/>
        <v>5.6941431670281997E-2</v>
      </c>
      <c r="P37" s="72">
        <f t="shared" si="12"/>
        <v>1.8980477223427331E-2</v>
      </c>
      <c r="Q37" s="72">
        <f t="shared" si="12"/>
        <v>1.8980477223427331E-2</v>
      </c>
      <c r="R37" s="72">
        <f t="shared" si="12"/>
        <v>1.8980477223427331E-2</v>
      </c>
      <c r="S37" s="72">
        <f t="shared" si="12"/>
        <v>1.8980477223427331E-2</v>
      </c>
      <c r="T37" s="72">
        <f t="shared" si="12"/>
        <v>1.8980477223427331E-2</v>
      </c>
      <c r="U37" s="72">
        <f t="shared" si="12"/>
        <v>1.8980477223427331E-2</v>
      </c>
      <c r="V37" s="72">
        <f t="shared" si="12"/>
        <v>1.8980477223427331E-2</v>
      </c>
      <c r="W37" s="72">
        <f t="shared" si="12"/>
        <v>1.8980477223427331E-2</v>
      </c>
      <c r="X37" s="72">
        <f t="shared" si="12"/>
        <v>1.8980477223427331E-2</v>
      </c>
      <c r="Y37" s="72">
        <f t="shared" si="12"/>
        <v>3.7960954446854663E-2</v>
      </c>
      <c r="Z37" s="72">
        <f t="shared" si="12"/>
        <v>1.8980477223427331E-2</v>
      </c>
      <c r="AA37" s="72">
        <f t="shared" si="12"/>
        <v>1.8980477223427331E-2</v>
      </c>
      <c r="AB37" s="72">
        <f t="shared" si="12"/>
        <v>1.8980477223427331E-2</v>
      </c>
      <c r="AC37" s="72">
        <f t="shared" si="12"/>
        <v>5.6941431670281997E-2</v>
      </c>
      <c r="AD37" s="72">
        <f t="shared" si="12"/>
        <v>1.8980477223427331E-2</v>
      </c>
      <c r="AE37" s="72">
        <f t="shared" si="12"/>
        <v>5.6941431670281997E-2</v>
      </c>
      <c r="AF37" s="72">
        <f t="shared" si="12"/>
        <v>5.6941431670281997E-2</v>
      </c>
      <c r="AG37" s="72">
        <f t="shared" si="1"/>
        <v>5.6941431670281997E-2</v>
      </c>
      <c r="AH37" s="72">
        <f t="shared" si="2"/>
        <v>0</v>
      </c>
      <c r="AI37" s="72">
        <f t="shared" si="3"/>
        <v>0</v>
      </c>
    </row>
    <row r="38" spans="1:35" x14ac:dyDescent="0.35">
      <c r="A38" s="139">
        <v>11</v>
      </c>
      <c r="B38" s="137" t="s">
        <v>34</v>
      </c>
      <c r="C38" s="141" t="s">
        <v>97</v>
      </c>
      <c r="D38" s="145">
        <f>'1_weight_criteria'!F28</f>
        <v>6.2364425162689807E-2</v>
      </c>
      <c r="E38" s="146">
        <f t="shared" ref="E38:AF38" si="13">D16*$D38</f>
        <v>0</v>
      </c>
      <c r="F38" s="146">
        <f t="shared" si="13"/>
        <v>0</v>
      </c>
      <c r="G38" s="146">
        <f t="shared" si="13"/>
        <v>2.0788141720896602E-2</v>
      </c>
      <c r="H38" s="72">
        <f t="shared" si="13"/>
        <v>0</v>
      </c>
      <c r="I38" s="72">
        <f t="shared" si="13"/>
        <v>0</v>
      </c>
      <c r="J38" s="72">
        <f t="shared" si="13"/>
        <v>0</v>
      </c>
      <c r="K38" s="72">
        <f t="shared" si="13"/>
        <v>0</v>
      </c>
      <c r="L38" s="72">
        <f t="shared" si="13"/>
        <v>0</v>
      </c>
      <c r="M38" s="72">
        <f t="shared" si="13"/>
        <v>0</v>
      </c>
      <c r="N38" s="72">
        <f t="shared" si="13"/>
        <v>0</v>
      </c>
      <c r="O38" s="72">
        <f t="shared" si="13"/>
        <v>2.0788141720896602E-2</v>
      </c>
      <c r="P38" s="72">
        <f t="shared" si="13"/>
        <v>2.0788141720896602E-2</v>
      </c>
      <c r="Q38" s="72">
        <f t="shared" si="13"/>
        <v>2.0788141720896602E-2</v>
      </c>
      <c r="R38" s="72">
        <f t="shared" si="13"/>
        <v>0</v>
      </c>
      <c r="S38" s="72">
        <f t="shared" si="13"/>
        <v>0</v>
      </c>
      <c r="T38" s="72">
        <f t="shared" si="13"/>
        <v>0</v>
      </c>
      <c r="U38" s="72">
        <f t="shared" si="13"/>
        <v>0</v>
      </c>
      <c r="V38" s="72">
        <f t="shared" si="13"/>
        <v>0</v>
      </c>
      <c r="W38" s="72">
        <f t="shared" si="13"/>
        <v>0</v>
      </c>
      <c r="X38" s="72">
        <f t="shared" si="13"/>
        <v>0</v>
      </c>
      <c r="Y38" s="72">
        <f t="shared" si="13"/>
        <v>0</v>
      </c>
      <c r="Z38" s="72">
        <f t="shared" si="13"/>
        <v>0</v>
      </c>
      <c r="AA38" s="72">
        <f t="shared" si="13"/>
        <v>0</v>
      </c>
      <c r="AB38" s="72">
        <f t="shared" si="13"/>
        <v>0</v>
      </c>
      <c r="AC38" s="72">
        <f t="shared" si="13"/>
        <v>0</v>
      </c>
      <c r="AD38" s="72">
        <f t="shared" si="13"/>
        <v>0</v>
      </c>
      <c r="AE38" s="72">
        <f t="shared" si="13"/>
        <v>6.2364425162689807E-2</v>
      </c>
      <c r="AF38" s="72">
        <f t="shared" si="13"/>
        <v>6.2364425162689807E-2</v>
      </c>
      <c r="AG38" s="72">
        <f t="shared" si="1"/>
        <v>0</v>
      </c>
      <c r="AH38" s="72">
        <f t="shared" si="2"/>
        <v>0</v>
      </c>
      <c r="AI38" s="72">
        <f t="shared" si="3"/>
        <v>0</v>
      </c>
    </row>
    <row r="39" spans="1:35" x14ac:dyDescent="0.35">
      <c r="A39" s="139">
        <v>12</v>
      </c>
      <c r="B39" s="137" t="s">
        <v>36</v>
      </c>
      <c r="C39" s="141" t="s">
        <v>97</v>
      </c>
      <c r="D39" s="145">
        <f>'1_weight_criteria'!F29</f>
        <v>4.8806941431670282E-2</v>
      </c>
      <c r="E39" s="146">
        <f t="shared" ref="E39:AF39" si="14">D17*$D39</f>
        <v>4.8806941431670282E-2</v>
      </c>
      <c r="F39" s="146">
        <f t="shared" si="14"/>
        <v>4.8806941431670282E-2</v>
      </c>
      <c r="G39" s="146">
        <f t="shared" si="14"/>
        <v>4.8806941431670282E-2</v>
      </c>
      <c r="H39" s="72">
        <f t="shared" si="14"/>
        <v>4.8806941431670282E-2</v>
      </c>
      <c r="I39" s="72">
        <f t="shared" si="14"/>
        <v>0</v>
      </c>
      <c r="J39" s="72">
        <f t="shared" si="14"/>
        <v>0</v>
      </c>
      <c r="K39" s="72">
        <f t="shared" si="14"/>
        <v>1.6268980477223426E-2</v>
      </c>
      <c r="L39" s="72">
        <f t="shared" si="14"/>
        <v>4.8806941431670282E-2</v>
      </c>
      <c r="M39" s="72">
        <f t="shared" si="14"/>
        <v>4.8806941431670282E-2</v>
      </c>
      <c r="N39" s="72">
        <f t="shared" si="14"/>
        <v>4.8806941431670282E-2</v>
      </c>
      <c r="O39" s="72">
        <f t="shared" si="14"/>
        <v>4.8806941431670282E-2</v>
      </c>
      <c r="P39" s="72">
        <f t="shared" si="14"/>
        <v>4.8806941431670282E-2</v>
      </c>
      <c r="Q39" s="72">
        <f t="shared" si="14"/>
        <v>4.8806941431670282E-2</v>
      </c>
      <c r="R39" s="72">
        <f t="shared" si="14"/>
        <v>0</v>
      </c>
      <c r="S39" s="72">
        <f t="shared" si="14"/>
        <v>1.6268980477223426E-2</v>
      </c>
      <c r="T39" s="72">
        <f t="shared" si="14"/>
        <v>4.8806941431670282E-2</v>
      </c>
      <c r="U39" s="72">
        <f t="shared" si="14"/>
        <v>4.8806941431670282E-2</v>
      </c>
      <c r="V39" s="72">
        <f t="shared" si="14"/>
        <v>0</v>
      </c>
      <c r="W39" s="72">
        <f t="shared" si="14"/>
        <v>0</v>
      </c>
      <c r="X39" s="72">
        <f t="shared" si="14"/>
        <v>0</v>
      </c>
      <c r="Y39" s="72">
        <f t="shared" si="14"/>
        <v>4.8806941431670282E-2</v>
      </c>
      <c r="Z39" s="72">
        <f t="shared" si="14"/>
        <v>4.8806941431670282E-2</v>
      </c>
      <c r="AA39" s="72">
        <f t="shared" si="14"/>
        <v>4.8806941431670282E-2</v>
      </c>
      <c r="AB39" s="72">
        <f t="shared" si="14"/>
        <v>4.8806941431670282E-2</v>
      </c>
      <c r="AC39" s="72">
        <f t="shared" si="14"/>
        <v>0</v>
      </c>
      <c r="AD39" s="72">
        <f t="shared" si="14"/>
        <v>4.8806941431670282E-2</v>
      </c>
      <c r="AE39" s="72">
        <f t="shared" si="14"/>
        <v>4.8806941431670282E-2</v>
      </c>
      <c r="AF39" s="72">
        <f t="shared" si="14"/>
        <v>4.8806941431670282E-2</v>
      </c>
      <c r="AG39" s="72">
        <f t="shared" si="1"/>
        <v>1.6268980477223426E-2</v>
      </c>
      <c r="AH39" s="72">
        <f t="shared" si="2"/>
        <v>1.6268980477223426E-2</v>
      </c>
      <c r="AI39" s="72">
        <f t="shared" si="3"/>
        <v>4.8806941431670282E-2</v>
      </c>
    </row>
    <row r="40" spans="1:35" x14ac:dyDescent="0.35">
      <c r="A40" s="139">
        <v>13</v>
      </c>
      <c r="B40" s="137" t="s">
        <v>37</v>
      </c>
      <c r="C40" s="141" t="s">
        <v>97</v>
      </c>
      <c r="D40" s="145">
        <f>'1_weight_criteria'!F30</f>
        <v>4.7180043383947941E-2</v>
      </c>
      <c r="E40" s="146">
        <f t="shared" ref="E40:AF40" si="15">D18*$D40</f>
        <v>0</v>
      </c>
      <c r="F40" s="146">
        <f t="shared" si="15"/>
        <v>0</v>
      </c>
      <c r="G40" s="146">
        <f t="shared" si="15"/>
        <v>4.7180043383947941E-2</v>
      </c>
      <c r="H40" s="72">
        <f t="shared" si="15"/>
        <v>0</v>
      </c>
      <c r="I40" s="72">
        <f t="shared" si="15"/>
        <v>0</v>
      </c>
      <c r="J40" s="72">
        <f t="shared" si="15"/>
        <v>0</v>
      </c>
      <c r="K40" s="72">
        <f t="shared" si="15"/>
        <v>0</v>
      </c>
      <c r="L40" s="72">
        <f t="shared" si="15"/>
        <v>4.7180043383947941E-2</v>
      </c>
      <c r="M40" s="72">
        <f t="shared" si="15"/>
        <v>0</v>
      </c>
      <c r="N40" s="72">
        <f t="shared" si="15"/>
        <v>0</v>
      </c>
      <c r="O40" s="72">
        <f t="shared" si="15"/>
        <v>0</v>
      </c>
      <c r="P40" s="72">
        <f t="shared" si="15"/>
        <v>0</v>
      </c>
      <c r="Q40" s="72">
        <f t="shared" si="15"/>
        <v>0</v>
      </c>
      <c r="R40" s="72">
        <f t="shared" si="15"/>
        <v>0</v>
      </c>
      <c r="S40" s="72">
        <f t="shared" si="15"/>
        <v>0</v>
      </c>
      <c r="T40" s="72">
        <f t="shared" si="15"/>
        <v>0</v>
      </c>
      <c r="U40" s="72">
        <f t="shared" si="15"/>
        <v>0</v>
      </c>
      <c r="V40" s="72">
        <f t="shared" si="15"/>
        <v>0</v>
      </c>
      <c r="W40" s="72">
        <f t="shared" si="15"/>
        <v>0</v>
      </c>
      <c r="X40" s="72">
        <f t="shared" si="15"/>
        <v>0</v>
      </c>
      <c r="Y40" s="72">
        <f t="shared" si="15"/>
        <v>4.7180043383947941E-2</v>
      </c>
      <c r="Z40" s="72">
        <f t="shared" si="15"/>
        <v>4.7180043383947941E-2</v>
      </c>
      <c r="AA40" s="72">
        <f t="shared" si="15"/>
        <v>4.7180043383947941E-2</v>
      </c>
      <c r="AB40" s="72">
        <f t="shared" si="15"/>
        <v>0</v>
      </c>
      <c r="AC40" s="72">
        <f t="shared" si="15"/>
        <v>0</v>
      </c>
      <c r="AD40" s="72">
        <f t="shared" si="15"/>
        <v>0</v>
      </c>
      <c r="AE40" s="72">
        <f t="shared" si="15"/>
        <v>1.5726681127982645E-2</v>
      </c>
      <c r="AF40" s="72">
        <f t="shared" si="15"/>
        <v>0</v>
      </c>
      <c r="AG40" s="72">
        <f t="shared" si="1"/>
        <v>0</v>
      </c>
      <c r="AH40" s="72">
        <f t="shared" si="2"/>
        <v>4.7180043383947941E-2</v>
      </c>
      <c r="AI40" s="72">
        <f t="shared" si="3"/>
        <v>3.1453362255965289E-2</v>
      </c>
    </row>
    <row r="41" spans="1:35" x14ac:dyDescent="0.35">
      <c r="A41" s="139">
        <v>14</v>
      </c>
      <c r="B41" s="137" t="s">
        <v>38</v>
      </c>
      <c r="C41" s="141" t="s">
        <v>97</v>
      </c>
      <c r="D41" s="145">
        <f>'1_weight_criteria'!F31</f>
        <v>5.4229934924078093E-4</v>
      </c>
      <c r="E41" s="146">
        <f t="shared" ref="E41:AF41" si="16">D19*$D41</f>
        <v>0</v>
      </c>
      <c r="F41" s="146">
        <f t="shared" si="16"/>
        <v>5.4229934924078093E-4</v>
      </c>
      <c r="G41" s="146">
        <f t="shared" si="16"/>
        <v>5.4229934924078093E-4</v>
      </c>
      <c r="H41" s="72">
        <f t="shared" si="16"/>
        <v>0</v>
      </c>
      <c r="I41" s="72">
        <f t="shared" si="16"/>
        <v>0</v>
      </c>
      <c r="J41" s="72">
        <f t="shared" si="16"/>
        <v>0</v>
      </c>
      <c r="K41" s="72">
        <f t="shared" si="16"/>
        <v>0</v>
      </c>
      <c r="L41" s="72">
        <f t="shared" si="16"/>
        <v>0</v>
      </c>
      <c r="M41" s="72">
        <f t="shared" si="16"/>
        <v>5.4229934924078093E-4</v>
      </c>
      <c r="N41" s="72">
        <f t="shared" si="16"/>
        <v>5.4229934924078093E-4</v>
      </c>
      <c r="O41" s="72">
        <f t="shared" si="16"/>
        <v>5.4229934924078093E-4</v>
      </c>
      <c r="P41" s="72">
        <f t="shared" si="16"/>
        <v>5.4229934924078093E-4</v>
      </c>
      <c r="Q41" s="72">
        <f t="shared" si="16"/>
        <v>5.4229934924078093E-4</v>
      </c>
      <c r="R41" s="72">
        <f t="shared" si="16"/>
        <v>0</v>
      </c>
      <c r="S41" s="72">
        <f t="shared" si="16"/>
        <v>0</v>
      </c>
      <c r="T41" s="72">
        <f t="shared" si="16"/>
        <v>5.4229934924078093E-4</v>
      </c>
      <c r="U41" s="72">
        <f t="shared" si="16"/>
        <v>5.4229934924078093E-4</v>
      </c>
      <c r="V41" s="72">
        <f t="shared" si="16"/>
        <v>0</v>
      </c>
      <c r="W41" s="72">
        <f t="shared" si="16"/>
        <v>5.4229934924078093E-4</v>
      </c>
      <c r="X41" s="72">
        <f t="shared" si="16"/>
        <v>0</v>
      </c>
      <c r="Y41" s="72">
        <f t="shared" si="16"/>
        <v>5.4229934924078093E-4</v>
      </c>
      <c r="Z41" s="72">
        <f t="shared" si="16"/>
        <v>5.4229934924078093E-4</v>
      </c>
      <c r="AA41" s="72">
        <f t="shared" si="16"/>
        <v>5.4229934924078093E-4</v>
      </c>
      <c r="AB41" s="72">
        <f t="shared" si="16"/>
        <v>5.4229934924078093E-4</v>
      </c>
      <c r="AC41" s="72">
        <f t="shared" si="16"/>
        <v>0</v>
      </c>
      <c r="AD41" s="72">
        <f t="shared" si="16"/>
        <v>0</v>
      </c>
      <c r="AE41" s="72">
        <f t="shared" si="16"/>
        <v>0</v>
      </c>
      <c r="AF41" s="72">
        <f t="shared" si="16"/>
        <v>0</v>
      </c>
      <c r="AG41" s="72">
        <f t="shared" si="1"/>
        <v>0</v>
      </c>
      <c r="AH41" s="72">
        <f t="shared" si="2"/>
        <v>5.4229934924078093E-4</v>
      </c>
      <c r="AI41" s="72">
        <f t="shared" si="3"/>
        <v>0</v>
      </c>
    </row>
    <row r="42" spans="1:35" x14ac:dyDescent="0.35">
      <c r="A42" s="139">
        <v>15</v>
      </c>
      <c r="B42" s="137" t="s">
        <v>40</v>
      </c>
      <c r="C42" s="141" t="s">
        <v>97</v>
      </c>
      <c r="D42" s="145">
        <f>'1_weight_criteria'!F32</f>
        <v>6.2364425162689807E-2</v>
      </c>
      <c r="E42" s="146">
        <f t="shared" ref="E42:AF42" si="17">D20*$D42</f>
        <v>4.1576283441793205E-2</v>
      </c>
      <c r="F42" s="146">
        <f t="shared" si="17"/>
        <v>2.0788141720896602E-2</v>
      </c>
      <c r="G42" s="146">
        <f t="shared" si="17"/>
        <v>0</v>
      </c>
      <c r="H42" s="72">
        <f t="shared" si="17"/>
        <v>0</v>
      </c>
      <c r="I42" s="72">
        <f t="shared" si="17"/>
        <v>0</v>
      </c>
      <c r="J42" s="72">
        <f t="shared" si="17"/>
        <v>2.0788141720896602E-2</v>
      </c>
      <c r="K42" s="72">
        <f t="shared" si="17"/>
        <v>2.0788141720896602E-2</v>
      </c>
      <c r="L42" s="72">
        <f t="shared" si="17"/>
        <v>2.0788141720896602E-2</v>
      </c>
      <c r="M42" s="72">
        <f t="shared" si="17"/>
        <v>2.0788141720896602E-2</v>
      </c>
      <c r="N42" s="72">
        <f t="shared" si="17"/>
        <v>2.0788141720896602E-2</v>
      </c>
      <c r="O42" s="72">
        <f t="shared" si="17"/>
        <v>2.0788141720896602E-2</v>
      </c>
      <c r="P42" s="72">
        <f t="shared" si="17"/>
        <v>2.0788141720896602E-2</v>
      </c>
      <c r="Q42" s="72">
        <f t="shared" si="17"/>
        <v>2.0788141720896602E-2</v>
      </c>
      <c r="R42" s="72">
        <f t="shared" si="17"/>
        <v>0</v>
      </c>
      <c r="S42" s="72">
        <f t="shared" si="17"/>
        <v>2.0788141720896602E-2</v>
      </c>
      <c r="T42" s="72">
        <f t="shared" si="17"/>
        <v>0</v>
      </c>
      <c r="U42" s="72">
        <f t="shared" si="17"/>
        <v>4.1576283441793205E-2</v>
      </c>
      <c r="V42" s="72">
        <f t="shared" si="17"/>
        <v>4.1576283441793205E-2</v>
      </c>
      <c r="W42" s="72">
        <f t="shared" si="17"/>
        <v>4.1576283441793205E-2</v>
      </c>
      <c r="X42" s="72">
        <f t="shared" si="17"/>
        <v>0</v>
      </c>
      <c r="Y42" s="72">
        <f t="shared" si="17"/>
        <v>4.1576283441793205E-2</v>
      </c>
      <c r="Z42" s="72">
        <f t="shared" si="17"/>
        <v>6.2364425162689807E-2</v>
      </c>
      <c r="AA42" s="72">
        <f t="shared" si="17"/>
        <v>6.2364425162689807E-2</v>
      </c>
      <c r="AB42" s="72">
        <f t="shared" si="17"/>
        <v>6.2364425162689807E-2</v>
      </c>
      <c r="AC42" s="72">
        <f t="shared" si="17"/>
        <v>0</v>
      </c>
      <c r="AD42" s="72">
        <f t="shared" si="17"/>
        <v>0</v>
      </c>
      <c r="AE42" s="72">
        <f t="shared" si="17"/>
        <v>4.1576283441793205E-2</v>
      </c>
      <c r="AF42" s="72">
        <f t="shared" si="17"/>
        <v>4.1576283441793205E-2</v>
      </c>
      <c r="AG42" s="72">
        <f t="shared" si="1"/>
        <v>6.2364425162689807E-2</v>
      </c>
      <c r="AH42" s="72">
        <f t="shared" si="2"/>
        <v>2.0788141720896602E-2</v>
      </c>
      <c r="AI42" s="72">
        <f t="shared" si="3"/>
        <v>2.0788141720896602E-2</v>
      </c>
    </row>
    <row r="43" spans="1:35" x14ac:dyDescent="0.35">
      <c r="A43" s="139">
        <v>16</v>
      </c>
      <c r="B43" s="137" t="s">
        <v>41</v>
      </c>
      <c r="C43" s="141" t="s">
        <v>97</v>
      </c>
      <c r="D43" s="145">
        <f>'1_weight_criteria'!F33</f>
        <v>7.537960954446854E-2</v>
      </c>
      <c r="E43" s="146">
        <f t="shared" ref="E43:AF43" si="18">D21*$D43</f>
        <v>7.537960954446854E-2</v>
      </c>
      <c r="F43" s="146">
        <f t="shared" si="18"/>
        <v>7.537960954446854E-2</v>
      </c>
      <c r="G43" s="146">
        <f t="shared" si="18"/>
        <v>7.537960954446854E-2</v>
      </c>
      <c r="H43" s="72">
        <f t="shared" si="18"/>
        <v>7.537960954446854E-2</v>
      </c>
      <c r="I43" s="72">
        <f t="shared" si="18"/>
        <v>7.537960954446854E-2</v>
      </c>
      <c r="J43" s="72">
        <f t="shared" si="18"/>
        <v>7.537960954446854E-2</v>
      </c>
      <c r="K43" s="72">
        <f t="shared" si="18"/>
        <v>7.537960954446854E-2</v>
      </c>
      <c r="L43" s="72">
        <f t="shared" si="18"/>
        <v>7.537960954446854E-2</v>
      </c>
      <c r="M43" s="72">
        <f t="shared" si="18"/>
        <v>7.537960954446854E-2</v>
      </c>
      <c r="N43" s="72">
        <f t="shared" si="18"/>
        <v>7.537960954446854E-2</v>
      </c>
      <c r="O43" s="72">
        <f t="shared" si="18"/>
        <v>7.537960954446854E-2</v>
      </c>
      <c r="P43" s="72">
        <f t="shared" si="18"/>
        <v>7.537960954446854E-2</v>
      </c>
      <c r="Q43" s="72">
        <f t="shared" si="18"/>
        <v>7.537960954446854E-2</v>
      </c>
      <c r="R43" s="72">
        <f t="shared" si="18"/>
        <v>7.537960954446854E-2</v>
      </c>
      <c r="S43" s="72">
        <f t="shared" si="18"/>
        <v>7.537960954446854E-2</v>
      </c>
      <c r="T43" s="72">
        <f t="shared" si="18"/>
        <v>7.537960954446854E-2</v>
      </c>
      <c r="U43" s="72">
        <f t="shared" si="18"/>
        <v>0</v>
      </c>
      <c r="V43" s="72">
        <f t="shared" si="18"/>
        <v>7.537960954446854E-2</v>
      </c>
      <c r="W43" s="72">
        <f t="shared" si="18"/>
        <v>7.537960954446854E-2</v>
      </c>
      <c r="X43" s="72">
        <f t="shared" si="18"/>
        <v>7.537960954446854E-2</v>
      </c>
      <c r="Y43" s="72">
        <f t="shared" si="18"/>
        <v>7.537960954446854E-2</v>
      </c>
      <c r="Z43" s="72">
        <f t="shared" si="18"/>
        <v>3.768980477223427E-2</v>
      </c>
      <c r="AA43" s="72">
        <f t="shared" si="18"/>
        <v>7.537960954446854E-2</v>
      </c>
      <c r="AB43" s="72">
        <f t="shared" si="18"/>
        <v>3.768980477223427E-2</v>
      </c>
      <c r="AC43" s="72">
        <f t="shared" si="18"/>
        <v>7.537960954446854E-2</v>
      </c>
      <c r="AD43" s="72">
        <f t="shared" si="18"/>
        <v>7.537960954446854E-2</v>
      </c>
      <c r="AE43" s="72">
        <f t="shared" si="18"/>
        <v>7.537960954446854E-2</v>
      </c>
      <c r="AF43" s="72">
        <f t="shared" si="18"/>
        <v>7.537960954446854E-2</v>
      </c>
      <c r="AG43" s="72">
        <f t="shared" si="1"/>
        <v>7.537960954446854E-2</v>
      </c>
      <c r="AH43" s="72">
        <f t="shared" si="2"/>
        <v>3.768980477223427E-2</v>
      </c>
      <c r="AI43" s="72">
        <f t="shared" si="3"/>
        <v>7.537960954446854E-2</v>
      </c>
    </row>
    <row r="44" spans="1:35" ht="13.15" thickBot="1" x14ac:dyDescent="0.4">
      <c r="A44" s="140">
        <v>17</v>
      </c>
      <c r="B44" s="138" t="s">
        <v>42</v>
      </c>
      <c r="C44" s="143" t="s">
        <v>97</v>
      </c>
      <c r="D44" s="145">
        <f>'1_weight_criteria'!F34</f>
        <v>0.10737527114967461</v>
      </c>
      <c r="E44" s="146">
        <f t="shared" ref="E44:AF44" si="19">D22*$D44</f>
        <v>5.3687635574837307E-2</v>
      </c>
      <c r="F44" s="146">
        <f t="shared" si="19"/>
        <v>0.10737527114967461</v>
      </c>
      <c r="G44" s="146">
        <f t="shared" si="19"/>
        <v>0.10737527114967461</v>
      </c>
      <c r="H44" s="72">
        <f t="shared" si="19"/>
        <v>5.3687635574837307E-2</v>
      </c>
      <c r="I44" s="72">
        <f t="shared" si="19"/>
        <v>5.3687635574837307E-2</v>
      </c>
      <c r="J44" s="72">
        <f t="shared" si="19"/>
        <v>5.3687635574837307E-2</v>
      </c>
      <c r="K44" s="72">
        <f t="shared" si="19"/>
        <v>5.3687635574837307E-2</v>
      </c>
      <c r="L44" s="72">
        <f t="shared" si="19"/>
        <v>0.10737527114967461</v>
      </c>
      <c r="M44" s="72">
        <f t="shared" si="19"/>
        <v>0.10737527114967461</v>
      </c>
      <c r="N44" s="72">
        <f t="shared" si="19"/>
        <v>0.10737527114967461</v>
      </c>
      <c r="O44" s="72">
        <f t="shared" si="19"/>
        <v>0.10737527114967461</v>
      </c>
      <c r="P44" s="72">
        <f t="shared" si="19"/>
        <v>0.10737527114967461</v>
      </c>
      <c r="Q44" s="72">
        <f t="shared" si="19"/>
        <v>0.10737527114967461</v>
      </c>
      <c r="R44" s="72">
        <f t="shared" si="19"/>
        <v>0.10737527114967461</v>
      </c>
      <c r="S44" s="72">
        <f t="shared" si="19"/>
        <v>0.10737527114967461</v>
      </c>
      <c r="T44" s="72">
        <f t="shared" si="19"/>
        <v>0.10737527114967461</v>
      </c>
      <c r="U44" s="72">
        <f t="shared" si="19"/>
        <v>0</v>
      </c>
      <c r="V44" s="72">
        <f t="shared" si="19"/>
        <v>0.10737527114967461</v>
      </c>
      <c r="W44" s="72">
        <f t="shared" si="19"/>
        <v>0.10737527114967461</v>
      </c>
      <c r="X44" s="72">
        <f t="shared" si="19"/>
        <v>0.10737527114967461</v>
      </c>
      <c r="Y44" s="72">
        <f t="shared" si="19"/>
        <v>5.3687635574837307E-2</v>
      </c>
      <c r="Z44" s="72">
        <f t="shared" si="19"/>
        <v>5.3687635574837307E-2</v>
      </c>
      <c r="AA44" s="72">
        <f t="shared" si="19"/>
        <v>5.3687635574837307E-2</v>
      </c>
      <c r="AB44" s="72">
        <f t="shared" si="19"/>
        <v>5.3687635574837307E-2</v>
      </c>
      <c r="AC44" s="72">
        <f t="shared" si="19"/>
        <v>0.10737527114967461</v>
      </c>
      <c r="AD44" s="72">
        <f t="shared" si="19"/>
        <v>0.10737527114967461</v>
      </c>
      <c r="AE44" s="72">
        <f t="shared" si="19"/>
        <v>0.10737527114967461</v>
      </c>
      <c r="AF44" s="72">
        <f t="shared" si="19"/>
        <v>0.10737527114967461</v>
      </c>
      <c r="AG44" s="72">
        <f t="shared" si="1"/>
        <v>0.10737527114967461</v>
      </c>
      <c r="AH44" s="72">
        <f t="shared" si="2"/>
        <v>5.3687635574837307E-2</v>
      </c>
      <c r="AI44" s="72">
        <f t="shared" si="3"/>
        <v>0.10737527114967461</v>
      </c>
    </row>
    <row r="45" spans="1:35" ht="13.15" x14ac:dyDescent="0.35">
      <c r="A45" s="120"/>
      <c r="B45" s="121" t="s">
        <v>103</v>
      </c>
      <c r="C45" s="122"/>
      <c r="D45" s="123">
        <f>SUM(D28:D44)</f>
        <v>1</v>
      </c>
      <c r="E45" s="109"/>
      <c r="F45" s="109"/>
      <c r="G45" s="124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</row>
    <row r="46" spans="1:35" x14ac:dyDescent="0.35">
      <c r="A46" s="114"/>
      <c r="B46" s="111" t="s">
        <v>104</v>
      </c>
      <c r="C46" s="106"/>
      <c r="D46" s="112"/>
      <c r="E46" s="113">
        <f t="shared" ref="E46:AF46" si="20">SUM(E28:E44)</f>
        <v>0.3694866232827187</v>
      </c>
      <c r="F46" s="113">
        <f t="shared" si="20"/>
        <v>0.58622559652928419</v>
      </c>
      <c r="G46" s="113">
        <f t="shared" si="20"/>
        <v>0.59544468546637741</v>
      </c>
      <c r="H46" s="72">
        <f t="shared" si="20"/>
        <v>0.30892986261749816</v>
      </c>
      <c r="I46" s="72">
        <f t="shared" si="20"/>
        <v>0.24566160520607375</v>
      </c>
      <c r="J46" s="72">
        <f t="shared" si="20"/>
        <v>0.29067245119305857</v>
      </c>
      <c r="K46" s="72">
        <f t="shared" si="20"/>
        <v>0.30694143167028198</v>
      </c>
      <c r="L46" s="72">
        <f t="shared" si="20"/>
        <v>0.48879248011569054</v>
      </c>
      <c r="M46" s="72">
        <f t="shared" si="20"/>
        <v>0.46113521330441071</v>
      </c>
      <c r="N46" s="72">
        <f t="shared" si="20"/>
        <v>0.43022415039768613</v>
      </c>
      <c r="O46" s="72">
        <f t="shared" si="20"/>
        <v>0.53579175704989157</v>
      </c>
      <c r="P46" s="72">
        <f t="shared" si="20"/>
        <v>0.59797541576283442</v>
      </c>
      <c r="Q46" s="72">
        <f t="shared" si="20"/>
        <v>0.512292118582791</v>
      </c>
      <c r="R46" s="72">
        <f t="shared" si="20"/>
        <v>0.43872017353579174</v>
      </c>
      <c r="S46" s="72">
        <f t="shared" si="20"/>
        <v>0.42154736080983368</v>
      </c>
      <c r="T46" s="72">
        <f t="shared" si="20"/>
        <v>0.40672451193058567</v>
      </c>
      <c r="U46" s="72">
        <f t="shared" si="20"/>
        <v>0.17227042660882139</v>
      </c>
      <c r="V46" s="72">
        <f t="shared" si="20"/>
        <v>0.3159797541576283</v>
      </c>
      <c r="W46" s="72">
        <f t="shared" si="20"/>
        <v>0.37075198843094714</v>
      </c>
      <c r="X46" s="72">
        <f t="shared" si="20"/>
        <v>0.42136659436008672</v>
      </c>
      <c r="Y46" s="72">
        <f t="shared" si="20"/>
        <v>0.44649313087490961</v>
      </c>
      <c r="Z46" s="72">
        <f t="shared" si="20"/>
        <v>0.39614967462039041</v>
      </c>
      <c r="AA46" s="72">
        <f t="shared" si="20"/>
        <v>0.43383947939262468</v>
      </c>
      <c r="AB46" s="72">
        <f t="shared" si="20"/>
        <v>0.33920824295010843</v>
      </c>
      <c r="AC46" s="72">
        <f t="shared" si="20"/>
        <v>0.44486623282718724</v>
      </c>
      <c r="AD46" s="72">
        <f t="shared" si="20"/>
        <v>0.51518438177874193</v>
      </c>
      <c r="AE46" s="72">
        <f t="shared" si="20"/>
        <v>0.70046999276934196</v>
      </c>
      <c r="AF46" s="72">
        <f t="shared" si="20"/>
        <v>0.68474331164135938</v>
      </c>
      <c r="AG46" s="72">
        <f t="shared" ref="AG46:AI46" si="21">SUM(AG28:AG44)</f>
        <v>0.56525668835864062</v>
      </c>
      <c r="AH46" s="72">
        <f t="shared" si="21"/>
        <v>0.21484092552422268</v>
      </c>
      <c r="AI46" s="72">
        <f t="shared" si="21"/>
        <v>0.32248734634851767</v>
      </c>
    </row>
    <row r="47" spans="1:35" ht="13.5" thickBot="1" x14ac:dyDescent="0.4">
      <c r="A47" s="119" t="s">
        <v>105</v>
      </c>
      <c r="B47" s="115" t="s">
        <v>106</v>
      </c>
      <c r="C47" s="116"/>
      <c r="D47" s="117"/>
      <c r="E47" s="118">
        <f t="shared" ref="E47:AF47" si="22">E46/$D$45</f>
        <v>0.3694866232827187</v>
      </c>
      <c r="F47" s="118">
        <f t="shared" si="22"/>
        <v>0.58622559652928419</v>
      </c>
      <c r="G47" s="118">
        <f t="shared" si="22"/>
        <v>0.59544468546637741</v>
      </c>
      <c r="H47" s="72">
        <f t="shared" si="22"/>
        <v>0.30892986261749816</v>
      </c>
      <c r="I47" s="72">
        <f t="shared" si="22"/>
        <v>0.24566160520607375</v>
      </c>
      <c r="J47" s="72">
        <f t="shared" si="22"/>
        <v>0.29067245119305857</v>
      </c>
      <c r="K47" s="72">
        <f t="shared" si="22"/>
        <v>0.30694143167028198</v>
      </c>
      <c r="L47" s="72">
        <f t="shared" si="22"/>
        <v>0.48879248011569054</v>
      </c>
      <c r="M47" s="72">
        <f t="shared" si="22"/>
        <v>0.46113521330441071</v>
      </c>
      <c r="N47" s="72">
        <f t="shared" si="22"/>
        <v>0.43022415039768613</v>
      </c>
      <c r="O47" s="72">
        <f t="shared" si="22"/>
        <v>0.53579175704989157</v>
      </c>
      <c r="P47" s="72">
        <f t="shared" si="22"/>
        <v>0.59797541576283442</v>
      </c>
      <c r="Q47" s="72">
        <f t="shared" si="22"/>
        <v>0.512292118582791</v>
      </c>
      <c r="R47" s="72">
        <f t="shared" si="22"/>
        <v>0.43872017353579174</v>
      </c>
      <c r="S47" s="72">
        <f t="shared" si="22"/>
        <v>0.42154736080983368</v>
      </c>
      <c r="T47" s="72">
        <f t="shared" si="22"/>
        <v>0.40672451193058567</v>
      </c>
      <c r="U47" s="72">
        <f t="shared" si="22"/>
        <v>0.17227042660882139</v>
      </c>
      <c r="V47" s="72">
        <f t="shared" si="22"/>
        <v>0.3159797541576283</v>
      </c>
      <c r="W47" s="72">
        <f t="shared" si="22"/>
        <v>0.37075198843094714</v>
      </c>
      <c r="X47" s="72">
        <f t="shared" si="22"/>
        <v>0.42136659436008672</v>
      </c>
      <c r="Y47" s="72">
        <f t="shared" si="22"/>
        <v>0.44649313087490961</v>
      </c>
      <c r="Z47" s="72">
        <f t="shared" si="22"/>
        <v>0.39614967462039041</v>
      </c>
      <c r="AA47" s="72">
        <f t="shared" si="22"/>
        <v>0.43383947939262468</v>
      </c>
      <c r="AB47" s="72">
        <f t="shared" si="22"/>
        <v>0.33920824295010843</v>
      </c>
      <c r="AC47" s="72">
        <f t="shared" si="22"/>
        <v>0.44486623282718724</v>
      </c>
      <c r="AD47" s="72">
        <f t="shared" si="22"/>
        <v>0.51518438177874193</v>
      </c>
      <c r="AE47" s="72">
        <f t="shared" si="22"/>
        <v>0.70046999276934196</v>
      </c>
      <c r="AF47" s="72">
        <f t="shared" si="22"/>
        <v>0.68474331164135938</v>
      </c>
      <c r="AG47" s="72">
        <f t="shared" ref="AG47:AI47" si="23">AG46/$D$45</f>
        <v>0.56525668835864062</v>
      </c>
      <c r="AH47" s="72">
        <f t="shared" si="23"/>
        <v>0.21484092552422268</v>
      </c>
      <c r="AI47" s="72">
        <f t="shared" si="23"/>
        <v>0.32248734634851767</v>
      </c>
    </row>
  </sheetData>
  <mergeCells count="6">
    <mergeCell ref="A4:B4"/>
    <mergeCell ref="D4:F4"/>
    <mergeCell ref="A5:B5"/>
    <mergeCell ref="A27:B27"/>
    <mergeCell ref="A26:B26"/>
    <mergeCell ref="E26:G2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1"/>
  <sheetViews>
    <sheetView zoomScale="160" zoomScaleNormal="160" workbookViewId="0">
      <selection activeCell="P23" sqref="P23"/>
    </sheetView>
  </sheetViews>
  <sheetFormatPr defaultColWidth="9.1328125" defaultRowHeight="14.25" x14ac:dyDescent="0.45"/>
  <cols>
    <col min="1" max="1" width="24.86328125" style="174" customWidth="1"/>
    <col min="2" max="2" width="12.73046875" style="174" hidden="1" customWidth="1"/>
    <col min="3" max="3" width="15.73046875" style="174" hidden="1" customWidth="1"/>
    <col min="4" max="7" width="8.86328125" style="174" hidden="1" customWidth="1"/>
    <col min="8" max="8" width="9.1328125" style="174"/>
    <col min="9" max="9" width="15" style="174" customWidth="1"/>
    <col min="10" max="13" width="9.1328125" style="174"/>
    <col min="14" max="14" width="24.265625" style="174" customWidth="1"/>
    <col min="15" max="19" width="10.59765625" style="174" bestFit="1" customWidth="1"/>
    <col min="20" max="16384" width="9.1328125" style="174"/>
  </cols>
  <sheetData>
    <row r="1" spans="1:10" x14ac:dyDescent="0.45">
      <c r="A1" s="170" t="s">
        <v>107</v>
      </c>
      <c r="B1" s="171" t="s">
        <v>108</v>
      </c>
      <c r="C1" s="171" t="s">
        <v>109</v>
      </c>
      <c r="D1" s="171" t="s">
        <v>110</v>
      </c>
      <c r="E1" s="171" t="s">
        <v>111</v>
      </c>
      <c r="F1" s="171"/>
      <c r="G1" s="171"/>
      <c r="H1" s="172" t="s">
        <v>112</v>
      </c>
      <c r="I1" s="171" t="s">
        <v>113</v>
      </c>
      <c r="J1" s="173" t="s">
        <v>114</v>
      </c>
    </row>
    <row r="2" spans="1:10" x14ac:dyDescent="0.45">
      <c r="A2" s="175" t="s">
        <v>115</v>
      </c>
      <c r="B2" s="172">
        <f>SUM(C2/2080)</f>
        <v>0.2</v>
      </c>
      <c r="C2" s="172">
        <f t="shared" ref="C2:C16" si="0">SUM(E2*52)</f>
        <v>416</v>
      </c>
      <c r="D2" s="172">
        <f>SUM(C2/40)</f>
        <v>10.4</v>
      </c>
      <c r="E2" s="172">
        <v>8</v>
      </c>
      <c r="F2" s="172"/>
      <c r="G2" s="172"/>
      <c r="H2" s="176">
        <v>1</v>
      </c>
      <c r="I2" s="172">
        <f>J2*40</f>
        <v>20.8</v>
      </c>
      <c r="J2" s="177">
        <f>H2/100*52</f>
        <v>0.52</v>
      </c>
    </row>
    <row r="3" spans="1:10" x14ac:dyDescent="0.45">
      <c r="A3" s="178" t="s">
        <v>116</v>
      </c>
      <c r="B3" s="179">
        <f t="shared" ref="B3:B16" si="1">SUM(C3/2080)</f>
        <v>0.05</v>
      </c>
      <c r="C3" s="179">
        <f t="shared" si="0"/>
        <v>104</v>
      </c>
      <c r="D3" s="179">
        <f t="shared" ref="D3:D16" si="2">SUM(C3/40)</f>
        <v>2.6</v>
      </c>
      <c r="E3" s="179">
        <v>2</v>
      </c>
      <c r="F3" s="179"/>
      <c r="G3" s="179"/>
      <c r="H3" s="180">
        <v>24</v>
      </c>
      <c r="I3" s="179">
        <f t="shared" ref="I3:I16" si="3">J3*40</f>
        <v>499.20000000000005</v>
      </c>
      <c r="J3" s="181">
        <f t="shared" ref="J3:J16" si="4">H3/100*52</f>
        <v>12.48</v>
      </c>
    </row>
    <row r="4" spans="1:10" x14ac:dyDescent="0.45">
      <c r="A4" s="178" t="s">
        <v>117</v>
      </c>
      <c r="B4" s="179">
        <f t="shared" si="1"/>
        <v>2.5000000000000001E-2</v>
      </c>
      <c r="C4" s="179">
        <f t="shared" si="0"/>
        <v>52</v>
      </c>
      <c r="D4" s="179">
        <f t="shared" si="2"/>
        <v>1.3</v>
      </c>
      <c r="E4" s="179">
        <v>1</v>
      </c>
      <c r="F4" s="179"/>
      <c r="G4" s="179"/>
      <c r="H4" s="180">
        <v>2</v>
      </c>
      <c r="I4" s="179">
        <f t="shared" si="3"/>
        <v>41.6</v>
      </c>
      <c r="J4" s="181">
        <f t="shared" si="4"/>
        <v>1.04</v>
      </c>
    </row>
    <row r="5" spans="1:10" x14ac:dyDescent="0.45">
      <c r="A5" s="178" t="s">
        <v>118</v>
      </c>
      <c r="B5" s="179">
        <f t="shared" si="1"/>
        <v>0.15</v>
      </c>
      <c r="C5" s="179">
        <f t="shared" si="0"/>
        <v>312</v>
      </c>
      <c r="D5" s="179">
        <f t="shared" si="2"/>
        <v>7.8</v>
      </c>
      <c r="E5" s="179">
        <v>6</v>
      </c>
      <c r="F5" s="179"/>
      <c r="G5" s="179"/>
      <c r="H5" s="180">
        <v>6</v>
      </c>
      <c r="I5" s="179">
        <f t="shared" si="3"/>
        <v>124.80000000000001</v>
      </c>
      <c r="J5" s="181">
        <f t="shared" si="4"/>
        <v>3.12</v>
      </c>
    </row>
    <row r="6" spans="1:10" x14ac:dyDescent="0.45">
      <c r="A6" s="178" t="s">
        <v>119</v>
      </c>
      <c r="B6" s="179">
        <f t="shared" si="1"/>
        <v>0.1</v>
      </c>
      <c r="C6" s="179">
        <f t="shared" si="0"/>
        <v>208</v>
      </c>
      <c r="D6" s="179">
        <f t="shared" si="2"/>
        <v>5.2</v>
      </c>
      <c r="E6" s="179">
        <v>4</v>
      </c>
      <c r="F6" s="179"/>
      <c r="G6" s="179"/>
      <c r="H6" s="180">
        <v>10</v>
      </c>
      <c r="I6" s="179">
        <f t="shared" si="3"/>
        <v>208</v>
      </c>
      <c r="J6" s="181">
        <f t="shared" si="4"/>
        <v>5.2</v>
      </c>
    </row>
    <row r="7" spans="1:10" x14ac:dyDescent="0.45">
      <c r="A7" s="178" t="s">
        <v>120</v>
      </c>
      <c r="B7" s="179">
        <f t="shared" si="1"/>
        <v>0.2</v>
      </c>
      <c r="C7" s="179">
        <f t="shared" si="0"/>
        <v>416</v>
      </c>
      <c r="D7" s="179">
        <f t="shared" si="2"/>
        <v>10.4</v>
      </c>
      <c r="E7" s="179">
        <v>8</v>
      </c>
      <c r="F7" s="179"/>
      <c r="G7" s="179"/>
      <c r="H7" s="180">
        <v>31</v>
      </c>
      <c r="I7" s="179">
        <f t="shared" si="3"/>
        <v>644.80000000000007</v>
      </c>
      <c r="J7" s="181">
        <f t="shared" si="4"/>
        <v>16.12</v>
      </c>
    </row>
    <row r="8" spans="1:10" x14ac:dyDescent="0.45">
      <c r="A8" s="182" t="s">
        <v>121</v>
      </c>
      <c r="B8" s="179">
        <f t="shared" si="1"/>
        <v>0.2</v>
      </c>
      <c r="C8" s="179">
        <f t="shared" si="0"/>
        <v>416</v>
      </c>
      <c r="D8" s="179">
        <f t="shared" si="2"/>
        <v>10.4</v>
      </c>
      <c r="E8" s="179">
        <v>8</v>
      </c>
      <c r="F8" s="179"/>
      <c r="G8" s="179"/>
      <c r="H8" s="180">
        <v>9.5</v>
      </c>
      <c r="I8" s="183">
        <f t="shared" si="3"/>
        <v>197.60000000000002</v>
      </c>
      <c r="J8" s="184">
        <f t="shared" si="4"/>
        <v>4.9400000000000004</v>
      </c>
    </row>
    <row r="9" spans="1:10" x14ac:dyDescent="0.45">
      <c r="A9" s="182" t="s">
        <v>122</v>
      </c>
      <c r="B9" s="179">
        <f t="shared" si="1"/>
        <v>0.1</v>
      </c>
      <c r="C9" s="179">
        <f t="shared" si="0"/>
        <v>208</v>
      </c>
      <c r="D9" s="179">
        <f t="shared" si="2"/>
        <v>5.2</v>
      </c>
      <c r="E9" s="179">
        <v>4</v>
      </c>
      <c r="F9" s="179"/>
      <c r="G9" s="179"/>
      <c r="H9" s="180">
        <v>4.5</v>
      </c>
      <c r="I9" s="183">
        <f t="shared" si="3"/>
        <v>93.6</v>
      </c>
      <c r="J9" s="184">
        <f t="shared" si="4"/>
        <v>2.34</v>
      </c>
    </row>
    <row r="10" spans="1:10" x14ac:dyDescent="0.45">
      <c r="A10" s="182" t="s">
        <v>123</v>
      </c>
      <c r="B10" s="179">
        <f t="shared" si="1"/>
        <v>0.15</v>
      </c>
      <c r="C10" s="179">
        <f t="shared" si="0"/>
        <v>312</v>
      </c>
      <c r="D10" s="179">
        <f t="shared" si="2"/>
        <v>7.8</v>
      </c>
      <c r="E10" s="179">
        <v>6</v>
      </c>
      <c r="F10" s="179"/>
      <c r="G10" s="179"/>
      <c r="H10" s="180">
        <v>4</v>
      </c>
      <c r="I10" s="183">
        <f t="shared" si="3"/>
        <v>83.2</v>
      </c>
      <c r="J10" s="184">
        <f t="shared" si="4"/>
        <v>2.08</v>
      </c>
    </row>
    <row r="11" spans="1:10" x14ac:dyDescent="0.45">
      <c r="A11" s="178" t="s">
        <v>124</v>
      </c>
      <c r="B11" s="179">
        <f t="shared" si="1"/>
        <v>1.2500000000000001E-2</v>
      </c>
      <c r="C11" s="179">
        <f t="shared" si="0"/>
        <v>26</v>
      </c>
      <c r="D11" s="179">
        <f t="shared" si="2"/>
        <v>0.65</v>
      </c>
      <c r="E11" s="179">
        <v>0.5</v>
      </c>
      <c r="F11" s="179"/>
      <c r="G11" s="179"/>
      <c r="H11" s="180">
        <v>0</v>
      </c>
      <c r="I11" s="179">
        <f t="shared" si="3"/>
        <v>0</v>
      </c>
      <c r="J11" s="181">
        <f t="shared" si="4"/>
        <v>0</v>
      </c>
    </row>
    <row r="12" spans="1:10" x14ac:dyDescent="0.45">
      <c r="A12" s="178" t="s">
        <v>125</v>
      </c>
      <c r="B12" s="179">
        <f t="shared" si="1"/>
        <v>2.5000000000000001E-2</v>
      </c>
      <c r="C12" s="179">
        <f t="shared" si="0"/>
        <v>52</v>
      </c>
      <c r="D12" s="179">
        <f t="shared" si="2"/>
        <v>1.3</v>
      </c>
      <c r="E12" s="179">
        <v>1</v>
      </c>
      <c r="F12" s="179"/>
      <c r="G12" s="179"/>
      <c r="H12" s="180">
        <v>1.4</v>
      </c>
      <c r="I12" s="179">
        <f t="shared" si="3"/>
        <v>29.119999999999997</v>
      </c>
      <c r="J12" s="181">
        <f>H12/100*52</f>
        <v>0.72799999999999998</v>
      </c>
    </row>
    <row r="13" spans="1:10" x14ac:dyDescent="0.45">
      <c r="A13" s="182" t="s">
        <v>126</v>
      </c>
      <c r="B13" s="179">
        <f t="shared" si="1"/>
        <v>2.5000000000000001E-2</v>
      </c>
      <c r="C13" s="179">
        <f t="shared" si="0"/>
        <v>52</v>
      </c>
      <c r="D13" s="179">
        <f t="shared" si="2"/>
        <v>1.3</v>
      </c>
      <c r="E13" s="179">
        <v>1</v>
      </c>
      <c r="F13" s="179"/>
      <c r="G13" s="179"/>
      <c r="H13" s="180">
        <v>0</v>
      </c>
      <c r="I13" s="183">
        <f t="shared" si="3"/>
        <v>0</v>
      </c>
      <c r="J13" s="184">
        <f t="shared" si="4"/>
        <v>0</v>
      </c>
    </row>
    <row r="14" spans="1:10" x14ac:dyDescent="0.45">
      <c r="A14" s="182" t="s">
        <v>127</v>
      </c>
      <c r="B14" s="179">
        <f t="shared" si="1"/>
        <v>2.5000000000000001E-2</v>
      </c>
      <c r="C14" s="179">
        <f t="shared" si="0"/>
        <v>52</v>
      </c>
      <c r="D14" s="179">
        <f t="shared" si="2"/>
        <v>1.3</v>
      </c>
      <c r="E14" s="179">
        <v>1</v>
      </c>
      <c r="F14" s="179"/>
      <c r="G14" s="179"/>
      <c r="H14" s="180">
        <v>4</v>
      </c>
      <c r="I14" s="183">
        <f t="shared" si="3"/>
        <v>83.2</v>
      </c>
      <c r="J14" s="184">
        <f t="shared" si="4"/>
        <v>2.08</v>
      </c>
    </row>
    <row r="15" spans="1:10" x14ac:dyDescent="0.45">
      <c r="A15" s="178" t="s">
        <v>128</v>
      </c>
      <c r="B15" s="179">
        <f t="shared" si="1"/>
        <v>2.5000000000000001E-2</v>
      </c>
      <c r="C15" s="179">
        <f t="shared" si="0"/>
        <v>52</v>
      </c>
      <c r="D15" s="179">
        <f t="shared" si="2"/>
        <v>1.3</v>
      </c>
      <c r="E15" s="179">
        <v>1</v>
      </c>
      <c r="F15" s="179"/>
      <c r="G15" s="179"/>
      <c r="H15" s="180">
        <v>2</v>
      </c>
      <c r="I15" s="179">
        <f t="shared" si="3"/>
        <v>41.6</v>
      </c>
      <c r="J15" s="181">
        <f t="shared" si="4"/>
        <v>1.04</v>
      </c>
    </row>
    <row r="16" spans="1:10" x14ac:dyDescent="0.45">
      <c r="A16" s="185" t="s">
        <v>129</v>
      </c>
      <c r="B16" s="186">
        <f t="shared" si="1"/>
        <v>1.2500000000000001E-2</v>
      </c>
      <c r="C16" s="186">
        <f t="shared" si="0"/>
        <v>26</v>
      </c>
      <c r="D16" s="186">
        <f t="shared" si="2"/>
        <v>0.65</v>
      </c>
      <c r="E16" s="186">
        <v>0.5</v>
      </c>
      <c r="F16" s="186"/>
      <c r="G16" s="186"/>
      <c r="H16" s="187">
        <v>0</v>
      </c>
      <c r="I16" s="186">
        <f t="shared" si="3"/>
        <v>0</v>
      </c>
      <c r="J16" s="188">
        <f t="shared" si="4"/>
        <v>0</v>
      </c>
    </row>
    <row r="17" spans="1:18" x14ac:dyDescent="0.45">
      <c r="B17" s="174">
        <f>SUM(B2:B16)</f>
        <v>1.2999999999999996</v>
      </c>
      <c r="C17" s="174">
        <f>SUM(C2:C16)</f>
        <v>2704</v>
      </c>
      <c r="D17" s="174">
        <f>SUM(D2:D16)</f>
        <v>67.599999999999994</v>
      </c>
      <c r="E17" s="174">
        <f>SUM(E2:E16)</f>
        <v>52</v>
      </c>
    </row>
    <row r="18" spans="1:18" x14ac:dyDescent="0.45">
      <c r="A18" s="174" t="s">
        <v>130</v>
      </c>
      <c r="H18" s="179"/>
    </row>
    <row r="19" spans="1:18" ht="14.65" thickBot="1" x14ac:dyDescent="0.5">
      <c r="P19" s="174">
        <v>5</v>
      </c>
      <c r="Q19" s="174">
        <v>1</v>
      </c>
      <c r="R19" s="174">
        <v>0.1</v>
      </c>
    </row>
    <row r="20" spans="1:18" x14ac:dyDescent="0.45">
      <c r="I20" s="189" t="s">
        <v>131</v>
      </c>
      <c r="J20" s="190">
        <f>SUM(J2:J16)</f>
        <v>51.688000000000002</v>
      </c>
      <c r="K20" s="191"/>
      <c r="L20" s="189" t="s">
        <v>132</v>
      </c>
      <c r="M20" s="192"/>
      <c r="N20" s="192"/>
      <c r="O20" s="191">
        <f>J8+J9+J10+J13+J14</f>
        <v>11.44</v>
      </c>
      <c r="P20" s="174">
        <f>0.05*O20</f>
        <v>0.57199999999999995</v>
      </c>
      <c r="Q20" s="174">
        <f>0.01*O20</f>
        <v>0.1144</v>
      </c>
      <c r="R20" s="174">
        <f>0.001*O20</f>
        <v>1.1440000000000001E-2</v>
      </c>
    </row>
    <row r="21" spans="1:18" ht="14.65" thickBot="1" x14ac:dyDescent="0.5">
      <c r="I21" s="193" t="s">
        <v>133</v>
      </c>
      <c r="J21" s="194">
        <f>52-J20</f>
        <v>0.31199999999999761</v>
      </c>
      <c r="K21" s="195"/>
      <c r="L21" s="193"/>
      <c r="M21" s="194"/>
      <c r="N21" s="194" t="s">
        <v>134</v>
      </c>
      <c r="O21" s="195">
        <f>O20*40</f>
        <v>457.59999999999997</v>
      </c>
      <c r="P21" s="174">
        <f>40*P20</f>
        <v>22.88</v>
      </c>
      <c r="Q21" s="174">
        <f t="shared" ref="Q21:R21" si="5">40*Q20</f>
        <v>4.5760000000000005</v>
      </c>
      <c r="R21" s="174">
        <f t="shared" si="5"/>
        <v>0.45760000000000001</v>
      </c>
    </row>
  </sheetData>
  <conditionalFormatting sqref="J20">
    <cfRule type="cellIs" dxfId="6" priority="1" operator="greaterThan">
      <formula>52</formula>
    </cfRule>
    <cfRule type="cellIs" dxfId="5" priority="2" operator="greaterThan">
      <formula>52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M288"/>
  <sheetViews>
    <sheetView topLeftCell="B1" zoomScale="80" zoomScaleNormal="80" workbookViewId="0">
      <pane ySplit="2" topLeftCell="A228" activePane="bottomLeft" state="frozen"/>
      <selection pane="bottomLeft" activeCell="C202" sqref="C202"/>
    </sheetView>
  </sheetViews>
  <sheetFormatPr defaultColWidth="9.1328125" defaultRowHeight="14.25" x14ac:dyDescent="0.45"/>
  <cols>
    <col min="1" max="1" width="9.1328125" style="174"/>
    <col min="2" max="2" width="84.59765625" style="196" customWidth="1"/>
    <col min="3" max="3" width="23.86328125" style="174" customWidth="1"/>
    <col min="4" max="4" width="17.86328125" style="174" customWidth="1"/>
    <col min="5" max="5" width="12.1328125" style="174" customWidth="1"/>
    <col min="6" max="6" width="10" style="174" customWidth="1"/>
    <col min="7" max="7" width="11.86328125" style="174" customWidth="1"/>
    <col min="8" max="8" width="11.265625" style="174" customWidth="1"/>
    <col min="9" max="9" width="10" style="174" customWidth="1"/>
    <col min="10" max="10" width="10.1328125" style="174" customWidth="1"/>
    <col min="11" max="12" width="9.1328125" style="174"/>
    <col min="13" max="13" width="9.1328125" style="174" customWidth="1"/>
    <col min="14" max="16384" width="9.1328125" style="174"/>
  </cols>
  <sheetData>
    <row r="1" spans="1:13" x14ac:dyDescent="0.45">
      <c r="C1" s="179"/>
      <c r="D1" s="179"/>
      <c r="E1" s="197" t="s">
        <v>132</v>
      </c>
      <c r="F1" s="198"/>
      <c r="G1" s="198"/>
      <c r="H1" s="199">
        <f>'[1]annual time budget'!O20</f>
        <v>11.44</v>
      </c>
      <c r="I1" s="197" t="s">
        <v>135</v>
      </c>
      <c r="J1" s="198"/>
      <c r="K1" s="199">
        <v>0</v>
      </c>
    </row>
    <row r="2" spans="1:13" ht="14.65" thickBot="1" x14ac:dyDescent="0.5">
      <c r="C2" s="179"/>
      <c r="D2" s="179"/>
      <c r="E2" s="200" t="s">
        <v>136</v>
      </c>
      <c r="F2" s="201"/>
      <c r="G2" s="201"/>
      <c r="H2" s="202">
        <f>H1-SUM(E17,E26,E35,E44,E53,E62,E71,E80,E89,E98,E107,E116,E125,E134,E143,E152,E161,E170,E179,E188,E197,E206,E215,E224,E233,E242,E251,E260)</f>
        <v>-236.86</v>
      </c>
      <c r="I2" s="200" t="s">
        <v>137</v>
      </c>
      <c r="J2" s="201"/>
      <c r="K2" s="202">
        <v>0</v>
      </c>
    </row>
    <row r="3" spans="1:13" ht="14.65" thickBot="1" x14ac:dyDescent="0.5"/>
    <row r="4" spans="1:13" ht="14.65" thickBot="1" x14ac:dyDescent="0.5">
      <c r="C4" s="179"/>
      <c r="D4" s="179"/>
      <c r="E4" s="203" t="s">
        <v>138</v>
      </c>
      <c r="F4" s="204" t="s">
        <v>139</v>
      </c>
      <c r="G4" s="205" t="s">
        <v>140</v>
      </c>
      <c r="H4" s="175" t="s">
        <v>141</v>
      </c>
      <c r="I4" s="172"/>
      <c r="J4" s="172"/>
      <c r="K4" s="172"/>
      <c r="L4" s="177"/>
    </row>
    <row r="5" spans="1:13" x14ac:dyDescent="0.45">
      <c r="C5" s="179"/>
      <c r="D5" s="179"/>
      <c r="E5" s="174" t="s">
        <v>142</v>
      </c>
      <c r="F5" s="174">
        <v>25.79</v>
      </c>
      <c r="G5" s="174">
        <f>F5*40</f>
        <v>1031.5999999999999</v>
      </c>
      <c r="H5" s="185" t="s">
        <v>143</v>
      </c>
      <c r="I5" s="186"/>
      <c r="J5" s="186"/>
      <c r="K5" s="186"/>
      <c r="L5" s="188"/>
    </row>
    <row r="6" spans="1:13" x14ac:dyDescent="0.45">
      <c r="C6" s="179"/>
      <c r="D6" s="179"/>
      <c r="E6" s="174" t="s">
        <v>144</v>
      </c>
      <c r="F6" s="174">
        <v>17</v>
      </c>
      <c r="G6" s="174">
        <f>F6*40</f>
        <v>680</v>
      </c>
    </row>
    <row r="7" spans="1:13" x14ac:dyDescent="0.45">
      <c r="B7" s="322" t="s">
        <v>145</v>
      </c>
      <c r="C7" s="179"/>
      <c r="D7" s="179"/>
      <c r="E7" s="174" t="s">
        <v>146</v>
      </c>
      <c r="F7" s="174">
        <v>100</v>
      </c>
      <c r="G7" s="174">
        <v>800</v>
      </c>
    </row>
    <row r="8" spans="1:13" ht="14.65" thickBot="1" x14ac:dyDescent="0.5"/>
    <row r="9" spans="1:13" ht="28.9" thickBot="1" x14ac:dyDescent="0.5">
      <c r="A9" s="174" t="s">
        <v>147</v>
      </c>
      <c r="B9" s="206" t="s">
        <v>148</v>
      </c>
      <c r="C9" s="203" t="s">
        <v>149</v>
      </c>
      <c r="D9" s="204" t="s">
        <v>150</v>
      </c>
      <c r="E9" s="207" t="s">
        <v>151</v>
      </c>
      <c r="F9" s="207" t="s">
        <v>152</v>
      </c>
      <c r="G9" s="207" t="s">
        <v>146</v>
      </c>
      <c r="H9" s="207" t="s">
        <v>153</v>
      </c>
      <c r="I9" s="207" t="s">
        <v>154</v>
      </c>
      <c r="J9" s="207" t="s">
        <v>155</v>
      </c>
      <c r="K9" s="207" t="s">
        <v>156</v>
      </c>
      <c r="L9" s="207" t="s">
        <v>157</v>
      </c>
      <c r="M9" s="208" t="s">
        <v>158</v>
      </c>
    </row>
    <row r="10" spans="1:13" x14ac:dyDescent="0.45">
      <c r="A10" s="174">
        <v>12</v>
      </c>
      <c r="B10" s="150" t="s">
        <v>60</v>
      </c>
      <c r="C10" s="174" t="s">
        <v>159</v>
      </c>
      <c r="D10" s="209" t="s">
        <v>160</v>
      </c>
      <c r="E10" s="210">
        <v>1</v>
      </c>
      <c r="F10" s="210">
        <v>0</v>
      </c>
      <c r="G10" s="210">
        <v>0</v>
      </c>
      <c r="I10" s="211">
        <f>(E10*$G$5)+(F10*$G$6)+(G10*$G$7)</f>
        <v>1031.5999999999999</v>
      </c>
      <c r="J10" s="211"/>
      <c r="K10" s="211"/>
      <c r="L10" s="211"/>
      <c r="M10" s="211"/>
    </row>
    <row r="11" spans="1:13" x14ac:dyDescent="0.45">
      <c r="A11" s="174">
        <v>12</v>
      </c>
      <c r="B11" s="150" t="s">
        <v>60</v>
      </c>
      <c r="C11" s="174" t="s">
        <v>161</v>
      </c>
      <c r="E11" s="210">
        <v>0</v>
      </c>
      <c r="F11" s="210">
        <v>0</v>
      </c>
      <c r="G11" s="210">
        <v>0</v>
      </c>
      <c r="I11" s="211"/>
      <c r="J11" s="211"/>
      <c r="K11" s="211"/>
      <c r="L11" s="211"/>
      <c r="M11" s="211"/>
    </row>
    <row r="12" spans="1:13" x14ac:dyDescent="0.45">
      <c r="A12" s="174">
        <v>12</v>
      </c>
      <c r="B12" s="150" t="s">
        <v>60</v>
      </c>
      <c r="C12" s="174" t="s">
        <v>162</v>
      </c>
      <c r="D12" s="174" t="s">
        <v>163</v>
      </c>
      <c r="E12" s="210">
        <v>1.5</v>
      </c>
      <c r="F12" s="210">
        <v>0</v>
      </c>
      <c r="G12" s="210">
        <v>0</v>
      </c>
      <c r="I12" s="211">
        <f>(E12*$G$5)+(F12*$G$6)+(G12*$G$7)</f>
        <v>1547.3999999999999</v>
      </c>
      <c r="J12" s="211">
        <f>I12</f>
        <v>1547.3999999999999</v>
      </c>
      <c r="K12" s="211">
        <f>I12</f>
        <v>1547.3999999999999</v>
      </c>
      <c r="L12" s="211">
        <f>I12</f>
        <v>1547.3999999999999</v>
      </c>
      <c r="M12" s="211">
        <f>I12</f>
        <v>1547.3999999999999</v>
      </c>
    </row>
    <row r="13" spans="1:13" x14ac:dyDescent="0.45">
      <c r="A13" s="174">
        <v>12</v>
      </c>
      <c r="B13" s="150" t="s">
        <v>60</v>
      </c>
      <c r="C13" s="174" t="s">
        <v>164</v>
      </c>
      <c r="E13" s="210">
        <v>0</v>
      </c>
      <c r="F13" s="210">
        <v>0</v>
      </c>
      <c r="G13" s="210">
        <v>0</v>
      </c>
      <c r="I13" s="211">
        <v>500</v>
      </c>
      <c r="J13" s="211"/>
      <c r="K13" s="211"/>
      <c r="L13" s="211"/>
      <c r="M13" s="211"/>
    </row>
    <row r="14" spans="1:13" x14ac:dyDescent="0.45">
      <c r="A14" s="174">
        <v>12</v>
      </c>
      <c r="B14" s="150" t="s">
        <v>60</v>
      </c>
      <c r="C14" s="174" t="s">
        <v>165</v>
      </c>
      <c r="D14" s="174" t="s">
        <v>166</v>
      </c>
      <c r="E14" s="210">
        <v>1</v>
      </c>
      <c r="F14" s="210">
        <v>0</v>
      </c>
      <c r="G14" s="210">
        <v>0</v>
      </c>
      <c r="I14" s="211">
        <f>(E14*$G$5)+(F14*$G$6)+(G14*$G$7)</f>
        <v>1031.5999999999999</v>
      </c>
      <c r="J14" s="211">
        <f>I14</f>
        <v>1031.5999999999999</v>
      </c>
      <c r="K14" s="211">
        <f>I14</f>
        <v>1031.5999999999999</v>
      </c>
      <c r="L14" s="211">
        <f>I14</f>
        <v>1031.5999999999999</v>
      </c>
      <c r="M14" s="211">
        <f>I14</f>
        <v>1031.5999999999999</v>
      </c>
    </row>
    <row r="15" spans="1:13" x14ac:dyDescent="0.45">
      <c r="A15" s="174">
        <v>12</v>
      </c>
      <c r="B15" s="150" t="s">
        <v>60</v>
      </c>
      <c r="C15" s="174" t="s">
        <v>167</v>
      </c>
      <c r="D15" s="174" t="s">
        <v>168</v>
      </c>
      <c r="E15" s="210">
        <v>0.5</v>
      </c>
      <c r="F15" s="210">
        <v>0</v>
      </c>
      <c r="G15" s="210">
        <v>0</v>
      </c>
      <c r="I15" s="211">
        <f>(E15*$G$5)+(F15*$G$6)+(G15*$G$7)</f>
        <v>515.79999999999995</v>
      </c>
      <c r="J15" s="211">
        <f>I15</f>
        <v>515.79999999999995</v>
      </c>
      <c r="K15" s="211">
        <f>I15</f>
        <v>515.79999999999995</v>
      </c>
      <c r="L15" s="211">
        <f>I15</f>
        <v>515.79999999999995</v>
      </c>
      <c r="M15" s="211">
        <f>I15</f>
        <v>515.79999999999995</v>
      </c>
    </row>
    <row r="16" spans="1:13" ht="14.65" thickBot="1" x14ac:dyDescent="0.5">
      <c r="A16" s="174">
        <v>12</v>
      </c>
      <c r="B16" s="150" t="s">
        <v>60</v>
      </c>
      <c r="C16" s="174" t="s">
        <v>169</v>
      </c>
      <c r="D16" s="174" t="s">
        <v>170</v>
      </c>
      <c r="E16" s="210">
        <v>1</v>
      </c>
      <c r="F16" s="210">
        <v>0</v>
      </c>
      <c r="G16" s="210">
        <v>0</v>
      </c>
      <c r="I16" s="211">
        <f>(E16*$G$5)+(F16*$G$6)+(G16*$G$7)</f>
        <v>1031.5999999999999</v>
      </c>
      <c r="J16" s="211">
        <f>I16</f>
        <v>1031.5999999999999</v>
      </c>
      <c r="K16" s="211">
        <f>I16</f>
        <v>1031.5999999999999</v>
      </c>
      <c r="L16" s="211">
        <f>I16</f>
        <v>1031.5999999999999</v>
      </c>
      <c r="M16" s="211">
        <f>I16</f>
        <v>1031.5999999999999</v>
      </c>
    </row>
    <row r="17" spans="1:13" ht="14.65" thickBot="1" x14ac:dyDescent="0.5">
      <c r="A17" s="174">
        <v>12</v>
      </c>
      <c r="B17" s="150" t="s">
        <v>60</v>
      </c>
      <c r="C17" s="205" t="s">
        <v>171</v>
      </c>
      <c r="D17" s="205"/>
      <c r="E17" s="212">
        <f>SUM(E10:E16)</f>
        <v>5</v>
      </c>
      <c r="F17" s="210">
        <v>0</v>
      </c>
      <c r="G17" s="205"/>
      <c r="H17" s="205"/>
      <c r="I17" s="213">
        <f>SUM(I10:I16)</f>
        <v>5658</v>
      </c>
      <c r="J17" s="213">
        <f>SUM(J10:J16)</f>
        <v>4126.3999999999996</v>
      </c>
      <c r="K17" s="213">
        <f>SUM(K10:K16)</f>
        <v>4126.3999999999996</v>
      </c>
      <c r="L17" s="213">
        <f>SUM(L10:L16)</f>
        <v>4126.3999999999996</v>
      </c>
      <c r="M17" s="214">
        <f>SUM(M10:M16)</f>
        <v>4126.3999999999996</v>
      </c>
    </row>
    <row r="18" spans="1:13" s="219" customFormat="1" x14ac:dyDescent="0.45">
      <c r="A18" s="174">
        <v>12</v>
      </c>
      <c r="B18" s="215"/>
      <c r="C18" s="216"/>
      <c r="D18" s="216"/>
      <c r="E18" s="216"/>
      <c r="F18" s="216"/>
      <c r="G18" s="216"/>
      <c r="H18" s="216"/>
      <c r="I18" s="217" t="s">
        <v>172</v>
      </c>
      <c r="J18" s="218"/>
      <c r="K18" s="218"/>
      <c r="L18" s="218"/>
      <c r="M18" s="218"/>
    </row>
    <row r="19" spans="1:13" x14ac:dyDescent="0.45">
      <c r="A19" s="174">
        <v>3</v>
      </c>
      <c r="B19" s="220" t="s">
        <v>173</v>
      </c>
      <c r="C19" s="174" t="s">
        <v>159</v>
      </c>
      <c r="D19" s="174" t="s">
        <v>160</v>
      </c>
      <c r="E19" s="174">
        <v>1</v>
      </c>
      <c r="F19" s="210">
        <v>0</v>
      </c>
      <c r="G19" s="174">
        <v>0.5</v>
      </c>
      <c r="I19" s="211">
        <f>(E19*$G$5)+(F19*$G$6)+(G19*$G$7)</f>
        <v>1431.6</v>
      </c>
      <c r="J19" s="211"/>
      <c r="K19" s="211"/>
      <c r="L19" s="211"/>
      <c r="M19" s="211"/>
    </row>
    <row r="20" spans="1:13" x14ac:dyDescent="0.45">
      <c r="A20" s="174">
        <v>3</v>
      </c>
      <c r="B20" s="220" t="s">
        <v>173</v>
      </c>
      <c r="C20" s="174" t="s">
        <v>161</v>
      </c>
      <c r="E20" s="221">
        <v>0</v>
      </c>
      <c r="F20" s="210">
        <v>0</v>
      </c>
      <c r="G20" s="174">
        <v>0</v>
      </c>
      <c r="I20" s="211"/>
      <c r="J20" s="211"/>
      <c r="K20" s="211"/>
      <c r="L20" s="211"/>
      <c r="M20" s="211"/>
    </row>
    <row r="21" spans="1:13" x14ac:dyDescent="0.45">
      <c r="A21" s="174">
        <v>3</v>
      </c>
      <c r="B21" s="220" t="s">
        <v>173</v>
      </c>
      <c r="C21" s="174" t="s">
        <v>162</v>
      </c>
      <c r="D21" s="174" t="s">
        <v>174</v>
      </c>
      <c r="E21" s="174">
        <v>2</v>
      </c>
      <c r="F21" s="210">
        <v>0</v>
      </c>
      <c r="G21" s="174">
        <v>0</v>
      </c>
      <c r="I21" s="211">
        <f>(E21*$G$5)+(F21*$G$6)+(G21*$G$7)</f>
        <v>2063.1999999999998</v>
      </c>
      <c r="J21" s="211">
        <f>I21</f>
        <v>2063.1999999999998</v>
      </c>
      <c r="K21" s="211">
        <f t="shared" ref="K21:M21" si="0">J21</f>
        <v>2063.1999999999998</v>
      </c>
      <c r="L21" s="211">
        <f t="shared" si="0"/>
        <v>2063.1999999999998</v>
      </c>
      <c r="M21" s="211">
        <f t="shared" si="0"/>
        <v>2063.1999999999998</v>
      </c>
    </row>
    <row r="22" spans="1:13" x14ac:dyDescent="0.45">
      <c r="A22" s="174">
        <v>3</v>
      </c>
      <c r="B22" s="220" t="s">
        <v>173</v>
      </c>
      <c r="C22" s="174" t="s">
        <v>164</v>
      </c>
      <c r="E22" s="174">
        <v>0</v>
      </c>
      <c r="F22" s="210">
        <v>0</v>
      </c>
      <c r="G22" s="174">
        <v>0</v>
      </c>
      <c r="H22" s="174">
        <v>500</v>
      </c>
      <c r="I22" s="211">
        <f>H22</f>
        <v>500</v>
      </c>
      <c r="J22" s="211"/>
      <c r="K22" s="211"/>
      <c r="L22" s="211"/>
      <c r="M22" s="211"/>
    </row>
    <row r="23" spans="1:13" x14ac:dyDescent="0.45">
      <c r="A23" s="174">
        <v>3</v>
      </c>
      <c r="B23" s="220" t="s">
        <v>173</v>
      </c>
      <c r="C23" s="174" t="s">
        <v>165</v>
      </c>
      <c r="D23" s="174" t="s">
        <v>175</v>
      </c>
      <c r="E23" s="174">
        <v>1</v>
      </c>
      <c r="F23" s="210">
        <v>0</v>
      </c>
      <c r="G23" s="174">
        <v>0</v>
      </c>
      <c r="I23" s="211">
        <f>(E23*$G$5)+(F23*$G$6)+(G23*$G$7)</f>
        <v>1031.5999999999999</v>
      </c>
      <c r="J23" s="211">
        <f>I23</f>
        <v>1031.5999999999999</v>
      </c>
      <c r="K23" s="211">
        <f>I23</f>
        <v>1031.5999999999999</v>
      </c>
      <c r="L23" s="211">
        <f>I23</f>
        <v>1031.5999999999999</v>
      </c>
      <c r="M23" s="211">
        <f>I23</f>
        <v>1031.5999999999999</v>
      </c>
    </row>
    <row r="24" spans="1:13" x14ac:dyDescent="0.45">
      <c r="A24" s="174">
        <v>3</v>
      </c>
      <c r="B24" s="220" t="s">
        <v>173</v>
      </c>
      <c r="C24" s="174" t="s">
        <v>167</v>
      </c>
      <c r="D24" s="174" t="s">
        <v>176</v>
      </c>
      <c r="E24" s="174">
        <v>0.5</v>
      </c>
      <c r="F24" s="210">
        <v>0</v>
      </c>
      <c r="G24" s="174">
        <v>0</v>
      </c>
      <c r="I24" s="211">
        <f>(E24*$G$5)+(F24*$G$6)+(G24*$G$7)</f>
        <v>515.79999999999995</v>
      </c>
      <c r="J24" s="211">
        <f>I24</f>
        <v>515.79999999999995</v>
      </c>
      <c r="K24" s="211">
        <f>I24</f>
        <v>515.79999999999995</v>
      </c>
      <c r="L24" s="211">
        <f>I24</f>
        <v>515.79999999999995</v>
      </c>
      <c r="M24" s="211">
        <f>I24</f>
        <v>515.79999999999995</v>
      </c>
    </row>
    <row r="25" spans="1:13" ht="14.65" thickBot="1" x14ac:dyDescent="0.5">
      <c r="A25" s="174">
        <v>3</v>
      </c>
      <c r="B25" s="220" t="s">
        <v>173</v>
      </c>
      <c r="C25" s="174" t="s">
        <v>169</v>
      </c>
      <c r="D25" s="174" t="s">
        <v>170</v>
      </c>
      <c r="E25" s="174">
        <v>1</v>
      </c>
      <c r="F25" s="210">
        <v>0</v>
      </c>
      <c r="G25" s="174">
        <v>0</v>
      </c>
      <c r="I25" s="211">
        <f>(E25*$G$5)+(F25*$G$6)+(G25*$G$7)</f>
        <v>1031.5999999999999</v>
      </c>
      <c r="J25" s="211">
        <f>I25</f>
        <v>1031.5999999999999</v>
      </c>
      <c r="K25" s="211">
        <f>I25</f>
        <v>1031.5999999999999</v>
      </c>
      <c r="L25" s="211">
        <f>I25</f>
        <v>1031.5999999999999</v>
      </c>
      <c r="M25" s="211">
        <f>I25</f>
        <v>1031.5999999999999</v>
      </c>
    </row>
    <row r="26" spans="1:13" ht="14.65" thickBot="1" x14ac:dyDescent="0.5">
      <c r="A26" s="174">
        <v>3</v>
      </c>
      <c r="B26" s="220" t="s">
        <v>51</v>
      </c>
      <c r="C26" s="205" t="s">
        <v>171</v>
      </c>
      <c r="D26" s="205"/>
      <c r="E26" s="212">
        <f>SUM(E19:E25)</f>
        <v>5.5</v>
      </c>
      <c r="F26" s="210">
        <v>0</v>
      </c>
      <c r="G26" s="205"/>
      <c r="H26" s="205"/>
      <c r="I26" s="213">
        <f>SUM(I19:I25)</f>
        <v>6573.7999999999993</v>
      </c>
      <c r="J26" s="213">
        <f>SUM(J19:J25)</f>
        <v>4642.1999999999989</v>
      </c>
      <c r="K26" s="213">
        <f>SUM(K19:K25)</f>
        <v>4642.1999999999989</v>
      </c>
      <c r="L26" s="213">
        <f>SUM(L19:L25)</f>
        <v>4642.1999999999989</v>
      </c>
      <c r="M26" s="214">
        <f>SUM(M19:M25)</f>
        <v>4642.1999999999989</v>
      </c>
    </row>
    <row r="27" spans="1:13" s="219" customFormat="1" x14ac:dyDescent="0.45">
      <c r="A27" s="174">
        <v>3</v>
      </c>
      <c r="B27" s="222"/>
      <c r="C27" s="216"/>
      <c r="D27" s="216"/>
      <c r="E27" s="216"/>
      <c r="F27" s="216"/>
      <c r="G27" s="216"/>
      <c r="H27" s="216"/>
      <c r="I27" s="217" t="s">
        <v>172</v>
      </c>
      <c r="J27" s="218"/>
      <c r="K27" s="218"/>
      <c r="L27" s="218"/>
      <c r="M27" s="218"/>
    </row>
    <row r="28" spans="1:13" x14ac:dyDescent="0.45">
      <c r="A28" s="174">
        <v>4</v>
      </c>
      <c r="B28" s="220" t="s">
        <v>177</v>
      </c>
      <c r="C28" s="174" t="s">
        <v>159</v>
      </c>
      <c r="D28" s="174" t="s">
        <v>160</v>
      </c>
      <c r="E28" s="174">
        <v>4</v>
      </c>
      <c r="F28" s="210">
        <v>0</v>
      </c>
      <c r="G28" s="174">
        <v>0.3</v>
      </c>
      <c r="I28" s="211">
        <f>(E28*$G$5)+(F28*$G$6)+(G28*$G$7)</f>
        <v>4366.3999999999996</v>
      </c>
      <c r="J28" s="211"/>
      <c r="K28" s="211"/>
      <c r="L28" s="211"/>
      <c r="M28" s="211"/>
    </row>
    <row r="29" spans="1:13" x14ac:dyDescent="0.45">
      <c r="A29" s="174">
        <v>4</v>
      </c>
      <c r="B29" s="220" t="s">
        <v>177</v>
      </c>
      <c r="C29" s="174" t="s">
        <v>161</v>
      </c>
      <c r="E29" s="174">
        <v>0</v>
      </c>
      <c r="F29" s="210">
        <v>0</v>
      </c>
      <c r="G29" s="174">
        <v>0</v>
      </c>
      <c r="I29" s="211">
        <f>(E29*$G$5)+(F29*$G$6)+(G29*$G$7)</f>
        <v>0</v>
      </c>
      <c r="J29" s="211">
        <f t="shared" ref="J29:J34" si="1">I29</f>
        <v>0</v>
      </c>
      <c r="K29" s="211">
        <f t="shared" ref="K29:K34" si="2">I29</f>
        <v>0</v>
      </c>
      <c r="L29" s="211">
        <f t="shared" ref="L29:L34" si="3">I29</f>
        <v>0</v>
      </c>
      <c r="M29" s="211">
        <f t="shared" ref="M29:M34" si="4">I29</f>
        <v>0</v>
      </c>
    </row>
    <row r="30" spans="1:13" x14ac:dyDescent="0.45">
      <c r="A30" s="174">
        <v>4</v>
      </c>
      <c r="B30" s="220" t="s">
        <v>177</v>
      </c>
      <c r="C30" s="174" t="s">
        <v>162</v>
      </c>
      <c r="D30" s="174" t="s">
        <v>178</v>
      </c>
      <c r="E30" s="174">
        <v>3</v>
      </c>
      <c r="F30" s="210">
        <v>0</v>
      </c>
      <c r="G30" s="174">
        <v>0</v>
      </c>
      <c r="I30" s="211">
        <f>(E30*$G$5)+(F30*$G$6)+(G30*$G$7)</f>
        <v>3094.7999999999997</v>
      </c>
      <c r="J30" s="211">
        <f t="shared" si="1"/>
        <v>3094.7999999999997</v>
      </c>
      <c r="K30" s="211">
        <f t="shared" si="2"/>
        <v>3094.7999999999997</v>
      </c>
      <c r="L30" s="211">
        <f t="shared" si="3"/>
        <v>3094.7999999999997</v>
      </c>
      <c r="M30" s="211">
        <f t="shared" si="4"/>
        <v>3094.7999999999997</v>
      </c>
    </row>
    <row r="31" spans="1:13" x14ac:dyDescent="0.45">
      <c r="A31" s="174">
        <v>4</v>
      </c>
      <c r="B31" s="220" t="s">
        <v>177</v>
      </c>
      <c r="C31" s="174" t="s">
        <v>164</v>
      </c>
      <c r="E31" s="174">
        <v>0</v>
      </c>
      <c r="F31" s="210">
        <v>0</v>
      </c>
      <c r="G31" s="174">
        <v>0</v>
      </c>
      <c r="H31" s="223">
        <v>10000</v>
      </c>
      <c r="I31" s="211">
        <f>H31</f>
        <v>10000</v>
      </c>
      <c r="J31" s="211"/>
      <c r="K31" s="211"/>
      <c r="L31" s="211"/>
      <c r="M31" s="211"/>
    </row>
    <row r="32" spans="1:13" x14ac:dyDescent="0.45">
      <c r="A32" s="174">
        <v>4</v>
      </c>
      <c r="B32" s="220" t="s">
        <v>177</v>
      </c>
      <c r="C32" s="174" t="s">
        <v>165</v>
      </c>
      <c r="D32" s="174" t="s">
        <v>179</v>
      </c>
      <c r="E32" s="174">
        <v>2</v>
      </c>
      <c r="F32" s="210">
        <v>0</v>
      </c>
      <c r="G32" s="174">
        <v>0</v>
      </c>
      <c r="I32" s="211">
        <f>(E32*$G$5)+(F32*$G$6)+(G32*$G$7)</f>
        <v>2063.1999999999998</v>
      </c>
      <c r="J32" s="211">
        <f t="shared" si="1"/>
        <v>2063.1999999999998</v>
      </c>
      <c r="K32" s="211">
        <f t="shared" si="2"/>
        <v>2063.1999999999998</v>
      </c>
      <c r="L32" s="211">
        <f t="shared" si="3"/>
        <v>2063.1999999999998</v>
      </c>
      <c r="M32" s="211">
        <f t="shared" si="4"/>
        <v>2063.1999999999998</v>
      </c>
    </row>
    <row r="33" spans="1:13" x14ac:dyDescent="0.45">
      <c r="A33" s="174">
        <v>4</v>
      </c>
      <c r="B33" s="220" t="s">
        <v>177</v>
      </c>
      <c r="C33" s="174" t="s">
        <v>167</v>
      </c>
      <c r="D33" s="174" t="s">
        <v>180</v>
      </c>
      <c r="E33" s="174">
        <v>3</v>
      </c>
      <c r="F33" s="210">
        <v>0</v>
      </c>
      <c r="G33" s="174">
        <v>0</v>
      </c>
      <c r="I33" s="211">
        <f>(E33*$G$5)+(F33*$G$6)+(G33*$G$7)</f>
        <v>3094.7999999999997</v>
      </c>
      <c r="J33" s="211">
        <f t="shared" si="1"/>
        <v>3094.7999999999997</v>
      </c>
      <c r="K33" s="211">
        <f t="shared" si="2"/>
        <v>3094.7999999999997</v>
      </c>
      <c r="L33" s="211">
        <f t="shared" si="3"/>
        <v>3094.7999999999997</v>
      </c>
      <c r="M33" s="211">
        <f t="shared" si="4"/>
        <v>3094.7999999999997</v>
      </c>
    </row>
    <row r="34" spans="1:13" ht="14.65" thickBot="1" x14ac:dyDescent="0.5">
      <c r="A34" s="174">
        <v>4</v>
      </c>
      <c r="B34" s="220" t="s">
        <v>177</v>
      </c>
      <c r="C34" s="174" t="s">
        <v>169</v>
      </c>
      <c r="D34" s="174" t="s">
        <v>181</v>
      </c>
      <c r="E34" s="174">
        <v>4</v>
      </c>
      <c r="F34" s="210">
        <v>0</v>
      </c>
      <c r="G34" s="174">
        <v>0</v>
      </c>
      <c r="I34" s="211">
        <f>(E34*$G$5)+(F34*$G$6)+(G34*$G$7)</f>
        <v>4126.3999999999996</v>
      </c>
      <c r="J34" s="211">
        <f t="shared" si="1"/>
        <v>4126.3999999999996</v>
      </c>
      <c r="K34" s="211">
        <f t="shared" si="2"/>
        <v>4126.3999999999996</v>
      </c>
      <c r="L34" s="211">
        <f t="shared" si="3"/>
        <v>4126.3999999999996</v>
      </c>
      <c r="M34" s="211">
        <f t="shared" si="4"/>
        <v>4126.3999999999996</v>
      </c>
    </row>
    <row r="35" spans="1:13" ht="14.65" thickBot="1" x14ac:dyDescent="0.5">
      <c r="A35" s="174">
        <v>4</v>
      </c>
      <c r="B35" s="220" t="s">
        <v>52</v>
      </c>
      <c r="C35" s="205" t="s">
        <v>171</v>
      </c>
      <c r="D35" s="205"/>
      <c r="E35" s="212">
        <f>SUM(E28:E34)</f>
        <v>16</v>
      </c>
      <c r="F35" s="210">
        <v>0</v>
      </c>
      <c r="G35" s="205"/>
      <c r="H35" s="205"/>
      <c r="I35" s="213">
        <f>SUM(I28:I34)</f>
        <v>26745.599999999999</v>
      </c>
      <c r="J35" s="213">
        <f>SUM(J28:J34)</f>
        <v>12379.199999999999</v>
      </c>
      <c r="K35" s="213">
        <f>SUM(K28:K34)</f>
        <v>12379.199999999999</v>
      </c>
      <c r="L35" s="213">
        <f>SUM(L28:L34)</f>
        <v>12379.199999999999</v>
      </c>
      <c r="M35" s="214">
        <f>SUM(M28:M34)</f>
        <v>12379.199999999999</v>
      </c>
    </row>
    <row r="36" spans="1:13" s="219" customFormat="1" x14ac:dyDescent="0.45">
      <c r="A36" s="174">
        <v>4</v>
      </c>
      <c r="B36" s="222"/>
      <c r="C36" s="216"/>
      <c r="D36" s="216"/>
      <c r="E36" s="216"/>
      <c r="F36" s="216"/>
      <c r="G36" s="216"/>
      <c r="H36" s="216"/>
      <c r="I36" s="217" t="s">
        <v>172</v>
      </c>
      <c r="J36" s="218"/>
      <c r="K36" s="218"/>
      <c r="L36" s="218"/>
      <c r="M36" s="218"/>
    </row>
    <row r="37" spans="1:13" x14ac:dyDescent="0.45">
      <c r="A37" s="174">
        <v>5</v>
      </c>
      <c r="B37" s="220" t="s">
        <v>182</v>
      </c>
      <c r="C37" s="174" t="s">
        <v>159</v>
      </c>
      <c r="D37" s="174" t="s">
        <v>160</v>
      </c>
      <c r="E37" s="174">
        <v>4</v>
      </c>
      <c r="F37" s="210">
        <v>0</v>
      </c>
      <c r="G37" s="174">
        <v>0.3</v>
      </c>
      <c r="I37" s="211">
        <f>(E37*$G$5)+(F37*$G$6)+(G37*$G$7)</f>
        <v>4366.3999999999996</v>
      </c>
      <c r="J37" s="211"/>
      <c r="K37" s="211"/>
      <c r="L37" s="211"/>
      <c r="M37" s="211"/>
    </row>
    <row r="38" spans="1:13" x14ac:dyDescent="0.45">
      <c r="A38" s="174">
        <v>5</v>
      </c>
      <c r="B38" s="220" t="s">
        <v>182</v>
      </c>
      <c r="C38" s="174" t="s">
        <v>161</v>
      </c>
      <c r="D38" s="174" t="s">
        <v>183</v>
      </c>
      <c r="E38" s="174">
        <v>0</v>
      </c>
      <c r="F38" s="210">
        <v>0</v>
      </c>
      <c r="G38" s="174">
        <v>0</v>
      </c>
      <c r="I38" s="211">
        <f>(E38*$G$5)+(F38*$G$6)+(G38*$G$7)</f>
        <v>0</v>
      </c>
      <c r="J38" s="211">
        <f t="shared" ref="J38:J43" si="5">I38</f>
        <v>0</v>
      </c>
      <c r="K38" s="211">
        <f t="shared" ref="K38:K43" si="6">I38</f>
        <v>0</v>
      </c>
      <c r="L38" s="211">
        <f t="shared" ref="L38:L43" si="7">I38</f>
        <v>0</v>
      </c>
      <c r="M38" s="211">
        <f t="shared" ref="M38:M43" si="8">I38</f>
        <v>0</v>
      </c>
    </row>
    <row r="39" spans="1:13" x14ac:dyDescent="0.45">
      <c r="A39" s="174">
        <v>5</v>
      </c>
      <c r="B39" s="220" t="s">
        <v>182</v>
      </c>
      <c r="C39" s="174" t="s">
        <v>162</v>
      </c>
      <c r="D39" s="174" t="s">
        <v>184</v>
      </c>
      <c r="E39" s="174">
        <v>3</v>
      </c>
      <c r="F39" s="210">
        <v>0</v>
      </c>
      <c r="G39" s="174">
        <v>0</v>
      </c>
      <c r="I39" s="211">
        <f>(E39*$G$5)+(F39*$G$6)+(G39*$G$7)</f>
        <v>3094.7999999999997</v>
      </c>
      <c r="J39" s="211">
        <f t="shared" si="5"/>
        <v>3094.7999999999997</v>
      </c>
      <c r="K39" s="211">
        <f t="shared" si="6"/>
        <v>3094.7999999999997</v>
      </c>
      <c r="L39" s="211">
        <f t="shared" si="7"/>
        <v>3094.7999999999997</v>
      </c>
      <c r="M39" s="211">
        <f t="shared" si="8"/>
        <v>3094.7999999999997</v>
      </c>
    </row>
    <row r="40" spans="1:13" x14ac:dyDescent="0.45">
      <c r="A40" s="174">
        <v>5</v>
      </c>
      <c r="B40" s="220" t="s">
        <v>182</v>
      </c>
      <c r="C40" s="174" t="s">
        <v>164</v>
      </c>
      <c r="E40" s="174">
        <v>0</v>
      </c>
      <c r="F40" s="210">
        <v>0</v>
      </c>
      <c r="G40" s="174">
        <v>0</v>
      </c>
      <c r="H40" s="223">
        <v>10000</v>
      </c>
      <c r="I40" s="211">
        <f>H40</f>
        <v>10000</v>
      </c>
      <c r="J40" s="211"/>
      <c r="K40" s="211"/>
      <c r="L40" s="211"/>
      <c r="M40" s="211"/>
    </row>
    <row r="41" spans="1:13" x14ac:dyDescent="0.45">
      <c r="A41" s="174">
        <v>5</v>
      </c>
      <c r="B41" s="220" t="s">
        <v>182</v>
      </c>
      <c r="C41" s="174" t="s">
        <v>165</v>
      </c>
      <c r="D41" s="174" t="s">
        <v>166</v>
      </c>
      <c r="E41" s="174">
        <v>2</v>
      </c>
      <c r="F41" s="210">
        <v>0</v>
      </c>
      <c r="G41" s="174">
        <v>0</v>
      </c>
      <c r="I41" s="211">
        <f>(E41*$G$5)+(F41*$G$6)+(G41*$G$7)</f>
        <v>2063.1999999999998</v>
      </c>
      <c r="J41" s="211">
        <f t="shared" si="5"/>
        <v>2063.1999999999998</v>
      </c>
      <c r="K41" s="211">
        <f t="shared" si="6"/>
        <v>2063.1999999999998</v>
      </c>
      <c r="L41" s="211">
        <f t="shared" si="7"/>
        <v>2063.1999999999998</v>
      </c>
      <c r="M41" s="211">
        <f t="shared" si="8"/>
        <v>2063.1999999999998</v>
      </c>
    </row>
    <row r="42" spans="1:13" x14ac:dyDescent="0.45">
      <c r="A42" s="174">
        <v>5</v>
      </c>
      <c r="B42" s="220" t="s">
        <v>182</v>
      </c>
      <c r="C42" s="174" t="s">
        <v>167</v>
      </c>
      <c r="E42" s="174">
        <v>3</v>
      </c>
      <c r="F42" s="210">
        <v>0</v>
      </c>
      <c r="G42" s="174">
        <v>0</v>
      </c>
      <c r="I42" s="211">
        <f>(E42*$G$5)+(F42*$G$6)+(G42*$G$7)</f>
        <v>3094.7999999999997</v>
      </c>
      <c r="J42" s="211">
        <f t="shared" si="5"/>
        <v>3094.7999999999997</v>
      </c>
      <c r="K42" s="211">
        <f t="shared" si="6"/>
        <v>3094.7999999999997</v>
      </c>
      <c r="L42" s="211">
        <f t="shared" si="7"/>
        <v>3094.7999999999997</v>
      </c>
      <c r="M42" s="211">
        <f t="shared" si="8"/>
        <v>3094.7999999999997</v>
      </c>
    </row>
    <row r="43" spans="1:13" ht="14.65" thickBot="1" x14ac:dyDescent="0.5">
      <c r="A43" s="174">
        <v>5</v>
      </c>
      <c r="B43" s="220" t="s">
        <v>182</v>
      </c>
      <c r="C43" s="174" t="s">
        <v>169</v>
      </c>
      <c r="E43" s="174">
        <v>4</v>
      </c>
      <c r="F43" s="210">
        <v>0</v>
      </c>
      <c r="G43" s="174">
        <v>0</v>
      </c>
      <c r="I43" s="211">
        <f>(E43*$G$5)+(F43*$G$6)+(G43*$G$7)</f>
        <v>4126.3999999999996</v>
      </c>
      <c r="J43" s="211">
        <f t="shared" si="5"/>
        <v>4126.3999999999996</v>
      </c>
      <c r="K43" s="211">
        <f t="shared" si="6"/>
        <v>4126.3999999999996</v>
      </c>
      <c r="L43" s="211">
        <f t="shared" si="7"/>
        <v>4126.3999999999996</v>
      </c>
      <c r="M43" s="211">
        <f t="shared" si="8"/>
        <v>4126.3999999999996</v>
      </c>
    </row>
    <row r="44" spans="1:13" ht="14.65" thickBot="1" x14ac:dyDescent="0.5">
      <c r="A44" s="174">
        <v>5</v>
      </c>
      <c r="B44" s="220" t="s">
        <v>53</v>
      </c>
      <c r="C44" s="205" t="s">
        <v>171</v>
      </c>
      <c r="D44" s="205"/>
      <c r="E44" s="212">
        <f>SUM(E37:E43)</f>
        <v>16</v>
      </c>
      <c r="F44" s="210">
        <v>0</v>
      </c>
      <c r="G44" s="205"/>
      <c r="H44" s="205"/>
      <c r="I44" s="213">
        <f>SUM(I37:I43)</f>
        <v>26745.599999999999</v>
      </c>
      <c r="J44" s="213">
        <f>SUM(J37:J43)</f>
        <v>12379.199999999999</v>
      </c>
      <c r="K44" s="213">
        <f>SUM(K37:K43)</f>
        <v>12379.199999999999</v>
      </c>
      <c r="L44" s="213">
        <f>SUM(L37:L43)</f>
        <v>12379.199999999999</v>
      </c>
      <c r="M44" s="214">
        <f>SUM(M37:M43)</f>
        <v>12379.199999999999</v>
      </c>
    </row>
    <row r="45" spans="1:13" s="219" customFormat="1" x14ac:dyDescent="0.45">
      <c r="A45" s="174">
        <v>5</v>
      </c>
      <c r="B45" s="222"/>
      <c r="C45" s="216"/>
      <c r="D45" s="216"/>
      <c r="E45" s="216"/>
      <c r="F45" s="216"/>
      <c r="G45" s="216"/>
      <c r="H45" s="216"/>
      <c r="I45" s="217" t="s">
        <v>172</v>
      </c>
      <c r="J45" s="218"/>
      <c r="K45" s="218"/>
      <c r="L45" s="218"/>
      <c r="M45" s="218"/>
    </row>
    <row r="46" spans="1:13" x14ac:dyDescent="0.45">
      <c r="A46" s="174">
        <v>6</v>
      </c>
      <c r="B46" s="220" t="s">
        <v>185</v>
      </c>
      <c r="C46" s="174" t="s">
        <v>159</v>
      </c>
      <c r="D46" s="174" t="s">
        <v>160</v>
      </c>
      <c r="E46" s="174">
        <v>1.5</v>
      </c>
      <c r="F46" s="210">
        <v>0</v>
      </c>
      <c r="G46" s="174">
        <v>1</v>
      </c>
      <c r="I46" s="211">
        <f>(E46*$G$5)+(F46*$G$6)+(G46*$G$7)</f>
        <v>2347.3999999999996</v>
      </c>
      <c r="J46" s="211"/>
      <c r="K46" s="211"/>
      <c r="L46" s="211"/>
      <c r="M46" s="211"/>
    </row>
    <row r="47" spans="1:13" x14ac:dyDescent="0.45">
      <c r="A47" s="174">
        <v>6</v>
      </c>
      <c r="B47" s="220" t="s">
        <v>185</v>
      </c>
      <c r="C47" s="174" t="s">
        <v>161</v>
      </c>
      <c r="E47" s="174">
        <v>0</v>
      </c>
      <c r="F47" s="210">
        <v>0</v>
      </c>
      <c r="G47" s="174">
        <v>0</v>
      </c>
      <c r="I47" s="211">
        <f>(E47*$G$5)+(F47*$G$6)+(G47*$G$7)</f>
        <v>0</v>
      </c>
      <c r="J47" s="211">
        <f t="shared" ref="J47:J52" si="9">I47</f>
        <v>0</v>
      </c>
      <c r="K47" s="211">
        <f t="shared" ref="K47:K52" si="10">I47</f>
        <v>0</v>
      </c>
      <c r="L47" s="211">
        <f t="shared" ref="L47:L52" si="11">I47</f>
        <v>0</v>
      </c>
      <c r="M47" s="211">
        <f t="shared" ref="M47:M52" si="12">I47</f>
        <v>0</v>
      </c>
    </row>
    <row r="48" spans="1:13" x14ac:dyDescent="0.45">
      <c r="A48" s="174">
        <v>6</v>
      </c>
      <c r="B48" s="220" t="s">
        <v>185</v>
      </c>
      <c r="C48" s="174" t="s">
        <v>162</v>
      </c>
      <c r="D48" s="174" t="s">
        <v>186</v>
      </c>
      <c r="E48" s="174">
        <v>2</v>
      </c>
      <c r="F48" s="210">
        <v>0</v>
      </c>
      <c r="G48" s="174">
        <v>0</v>
      </c>
      <c r="I48" s="211">
        <f>(E48*$G$5)+(F48*$G$6)+(G48*$G$7)</f>
        <v>2063.1999999999998</v>
      </c>
      <c r="J48" s="211">
        <f t="shared" si="9"/>
        <v>2063.1999999999998</v>
      </c>
      <c r="K48" s="211">
        <f t="shared" si="10"/>
        <v>2063.1999999999998</v>
      </c>
      <c r="L48" s="211">
        <f t="shared" si="11"/>
        <v>2063.1999999999998</v>
      </c>
      <c r="M48" s="211">
        <f t="shared" si="12"/>
        <v>2063.1999999999998</v>
      </c>
    </row>
    <row r="49" spans="1:13" x14ac:dyDescent="0.45">
      <c r="A49" s="174">
        <v>6</v>
      </c>
      <c r="B49" s="220" t="s">
        <v>185</v>
      </c>
      <c r="C49" s="174" t="s">
        <v>164</v>
      </c>
      <c r="E49" s="174">
        <v>0</v>
      </c>
      <c r="F49" s="210">
        <v>0</v>
      </c>
      <c r="G49" s="174">
        <v>0</v>
      </c>
      <c r="H49" s="174">
        <v>600</v>
      </c>
      <c r="I49" s="211">
        <f>H49</f>
        <v>600</v>
      </c>
      <c r="J49" s="211">
        <f t="shared" si="9"/>
        <v>600</v>
      </c>
      <c r="K49" s="211">
        <f t="shared" si="10"/>
        <v>600</v>
      </c>
      <c r="L49" s="211">
        <f t="shared" si="11"/>
        <v>600</v>
      </c>
      <c r="M49" s="211">
        <f t="shared" si="12"/>
        <v>600</v>
      </c>
    </row>
    <row r="50" spans="1:13" x14ac:dyDescent="0.45">
      <c r="A50" s="174">
        <v>6</v>
      </c>
      <c r="B50" s="220" t="s">
        <v>185</v>
      </c>
      <c r="C50" s="174" t="s">
        <v>165</v>
      </c>
      <c r="D50" s="174" t="s">
        <v>187</v>
      </c>
      <c r="E50" s="174">
        <v>1</v>
      </c>
      <c r="F50" s="210">
        <v>0</v>
      </c>
      <c r="G50" s="174">
        <v>0</v>
      </c>
      <c r="I50" s="211">
        <f>(E50*$G$5)+(F50*$G$6)+(G50*$G$7)</f>
        <v>1031.5999999999999</v>
      </c>
      <c r="J50" s="211">
        <f t="shared" si="9"/>
        <v>1031.5999999999999</v>
      </c>
      <c r="K50" s="211">
        <f t="shared" si="10"/>
        <v>1031.5999999999999</v>
      </c>
      <c r="L50" s="211">
        <f t="shared" si="11"/>
        <v>1031.5999999999999</v>
      </c>
      <c r="M50" s="211">
        <f t="shared" si="12"/>
        <v>1031.5999999999999</v>
      </c>
    </row>
    <row r="51" spans="1:13" x14ac:dyDescent="0.45">
      <c r="A51" s="174">
        <v>6</v>
      </c>
      <c r="B51" s="220" t="s">
        <v>185</v>
      </c>
      <c r="C51" s="174" t="s">
        <v>167</v>
      </c>
      <c r="D51" s="174" t="s">
        <v>180</v>
      </c>
      <c r="E51" s="174">
        <v>0.5</v>
      </c>
      <c r="F51" s="210">
        <v>0</v>
      </c>
      <c r="G51" s="174">
        <v>0</v>
      </c>
      <c r="I51" s="211">
        <f>(E51*$G$5)+(F51*$G$6)+(G51*$G$7)</f>
        <v>515.79999999999995</v>
      </c>
      <c r="J51" s="211">
        <f t="shared" si="9"/>
        <v>515.79999999999995</v>
      </c>
      <c r="K51" s="211">
        <f t="shared" si="10"/>
        <v>515.79999999999995</v>
      </c>
      <c r="L51" s="211">
        <f t="shared" si="11"/>
        <v>515.79999999999995</v>
      </c>
      <c r="M51" s="211">
        <f t="shared" si="12"/>
        <v>515.79999999999995</v>
      </c>
    </row>
    <row r="52" spans="1:13" ht="14.65" thickBot="1" x14ac:dyDescent="0.5">
      <c r="A52" s="174">
        <v>6</v>
      </c>
      <c r="B52" s="220" t="s">
        <v>185</v>
      </c>
      <c r="C52" s="174" t="s">
        <v>169</v>
      </c>
      <c r="D52" s="174" t="s">
        <v>181</v>
      </c>
      <c r="E52" s="174">
        <v>1</v>
      </c>
      <c r="F52" s="210">
        <v>0</v>
      </c>
      <c r="G52" s="174">
        <v>0</v>
      </c>
      <c r="I52" s="211">
        <f>(E52*$G$5)+(F52*$G$6)+(G52*$G$7)</f>
        <v>1031.5999999999999</v>
      </c>
      <c r="J52" s="211">
        <f t="shared" si="9"/>
        <v>1031.5999999999999</v>
      </c>
      <c r="K52" s="211">
        <f t="shared" si="10"/>
        <v>1031.5999999999999</v>
      </c>
      <c r="L52" s="211">
        <f t="shared" si="11"/>
        <v>1031.5999999999999</v>
      </c>
      <c r="M52" s="211">
        <f t="shared" si="12"/>
        <v>1031.5999999999999</v>
      </c>
    </row>
    <row r="53" spans="1:13" ht="14.65" thickBot="1" x14ac:dyDescent="0.5">
      <c r="A53" s="174">
        <v>6</v>
      </c>
      <c r="B53" s="220" t="s">
        <v>54</v>
      </c>
      <c r="C53" s="205" t="s">
        <v>171</v>
      </c>
      <c r="D53" s="205"/>
      <c r="E53" s="212">
        <f>SUM(E46:E52)</f>
        <v>6</v>
      </c>
      <c r="F53" s="210">
        <v>0</v>
      </c>
      <c r="G53" s="205"/>
      <c r="H53" s="205"/>
      <c r="I53" s="213">
        <f>SUM(I46:I52)</f>
        <v>7589.5999999999985</v>
      </c>
      <c r="J53" s="213">
        <f>SUM(J46:J52)</f>
        <v>5242.1999999999989</v>
      </c>
      <c r="K53" s="213">
        <f>SUM(K46:K52)</f>
        <v>5242.1999999999989</v>
      </c>
      <c r="L53" s="213">
        <f>SUM(L46:L52)</f>
        <v>5242.1999999999989</v>
      </c>
      <c r="M53" s="214">
        <f>SUM(M46:M52)</f>
        <v>5242.1999999999989</v>
      </c>
    </row>
    <row r="54" spans="1:13" x14ac:dyDescent="0.45">
      <c r="A54" s="174">
        <v>6</v>
      </c>
      <c r="B54" s="222"/>
      <c r="C54" s="216"/>
      <c r="D54" s="216"/>
      <c r="E54" s="216"/>
      <c r="F54" s="216"/>
      <c r="G54" s="216"/>
      <c r="H54" s="216"/>
      <c r="I54" s="217" t="s">
        <v>172</v>
      </c>
      <c r="J54" s="218"/>
      <c r="K54" s="218"/>
      <c r="L54" s="218"/>
      <c r="M54" s="218"/>
    </row>
    <row r="55" spans="1:13" x14ac:dyDescent="0.45">
      <c r="A55" s="174">
        <v>7</v>
      </c>
      <c r="B55" s="220" t="s">
        <v>188</v>
      </c>
      <c r="C55" s="174" t="s">
        <v>159</v>
      </c>
      <c r="D55" s="174" t="s">
        <v>160</v>
      </c>
      <c r="E55" s="174">
        <v>1</v>
      </c>
      <c r="F55" s="210">
        <v>0</v>
      </c>
      <c r="G55" s="174">
        <v>1</v>
      </c>
      <c r="I55" s="211">
        <f>(E55*$G$5)+(F55*$G$6)+(G55*$G$7)</f>
        <v>1831.6</v>
      </c>
      <c r="J55" s="211"/>
      <c r="K55" s="211"/>
      <c r="L55" s="211"/>
      <c r="M55" s="211"/>
    </row>
    <row r="56" spans="1:13" x14ac:dyDescent="0.45">
      <c r="A56" s="174">
        <v>7</v>
      </c>
      <c r="B56" s="220" t="s">
        <v>188</v>
      </c>
      <c r="C56" s="174" t="s">
        <v>161</v>
      </c>
      <c r="E56" s="174">
        <v>0</v>
      </c>
      <c r="F56" s="210">
        <v>0</v>
      </c>
      <c r="G56" s="174">
        <v>0</v>
      </c>
      <c r="I56" s="211">
        <f>(E56*$G$5)+(F56*$G$6)+(G56*$G$7)</f>
        <v>0</v>
      </c>
      <c r="J56" s="211">
        <f t="shared" ref="J56:J61" si="13">I56</f>
        <v>0</v>
      </c>
      <c r="K56" s="211">
        <f t="shared" ref="K56:K61" si="14">I56</f>
        <v>0</v>
      </c>
      <c r="L56" s="211">
        <f t="shared" ref="L56:L61" si="15">I56</f>
        <v>0</v>
      </c>
      <c r="M56" s="211">
        <f t="shared" ref="M56:M61" si="16">I56</f>
        <v>0</v>
      </c>
    </row>
    <row r="57" spans="1:13" ht="28.5" x14ac:dyDescent="0.45">
      <c r="A57" s="174">
        <v>7</v>
      </c>
      <c r="B57" s="220" t="s">
        <v>188</v>
      </c>
      <c r="C57" s="174" t="s">
        <v>162</v>
      </c>
      <c r="D57" s="224" t="s">
        <v>189</v>
      </c>
      <c r="E57" s="174">
        <v>2</v>
      </c>
      <c r="F57" s="210">
        <v>0</v>
      </c>
      <c r="G57" s="174">
        <v>0</v>
      </c>
      <c r="I57" s="211">
        <f>(E57*$G$5)+(F57*$G$6)+(G57*$G$7)</f>
        <v>2063.1999999999998</v>
      </c>
      <c r="J57" s="211">
        <f t="shared" si="13"/>
        <v>2063.1999999999998</v>
      </c>
      <c r="K57" s="211">
        <f t="shared" si="14"/>
        <v>2063.1999999999998</v>
      </c>
      <c r="L57" s="211">
        <f t="shared" si="15"/>
        <v>2063.1999999999998</v>
      </c>
      <c r="M57" s="211">
        <f t="shared" si="16"/>
        <v>2063.1999999999998</v>
      </c>
    </row>
    <row r="58" spans="1:13" x14ac:dyDescent="0.45">
      <c r="A58" s="174">
        <v>7</v>
      </c>
      <c r="B58" s="220" t="s">
        <v>188</v>
      </c>
      <c r="C58" s="174" t="s">
        <v>164</v>
      </c>
      <c r="E58" s="174">
        <v>0</v>
      </c>
      <c r="F58" s="210">
        <v>0</v>
      </c>
      <c r="G58" s="174">
        <v>0</v>
      </c>
      <c r="H58" s="174">
        <v>600</v>
      </c>
      <c r="I58" s="211">
        <f>H58</f>
        <v>600</v>
      </c>
      <c r="J58" s="211">
        <f t="shared" si="13"/>
        <v>600</v>
      </c>
      <c r="K58" s="211">
        <f t="shared" si="14"/>
        <v>600</v>
      </c>
      <c r="L58" s="211">
        <f t="shared" si="15"/>
        <v>600</v>
      </c>
      <c r="M58" s="211">
        <f t="shared" si="16"/>
        <v>600</v>
      </c>
    </row>
    <row r="59" spans="1:13" x14ac:dyDescent="0.45">
      <c r="A59" s="174">
        <v>7</v>
      </c>
      <c r="B59" s="220" t="s">
        <v>188</v>
      </c>
      <c r="C59" s="174" t="s">
        <v>165</v>
      </c>
      <c r="D59" s="174" t="s">
        <v>168</v>
      </c>
      <c r="E59" s="174">
        <v>1</v>
      </c>
      <c r="F59" s="210">
        <v>0</v>
      </c>
      <c r="G59" s="174">
        <v>0</v>
      </c>
      <c r="I59" s="211">
        <f>(E59*$G$5)+(F59*$G$6)+(G59*$G$7)</f>
        <v>1031.5999999999999</v>
      </c>
      <c r="J59" s="211">
        <f t="shared" si="13"/>
        <v>1031.5999999999999</v>
      </c>
      <c r="K59" s="211">
        <f t="shared" si="14"/>
        <v>1031.5999999999999</v>
      </c>
      <c r="L59" s="211">
        <f t="shared" si="15"/>
        <v>1031.5999999999999</v>
      </c>
      <c r="M59" s="211">
        <f t="shared" si="16"/>
        <v>1031.5999999999999</v>
      </c>
    </row>
    <row r="60" spans="1:13" x14ac:dyDescent="0.45">
      <c r="A60" s="174">
        <v>7</v>
      </c>
      <c r="B60" s="220" t="s">
        <v>188</v>
      </c>
      <c r="C60" s="174" t="s">
        <v>167</v>
      </c>
      <c r="D60" s="174" t="s">
        <v>160</v>
      </c>
      <c r="E60" s="174">
        <v>0.5</v>
      </c>
      <c r="F60" s="210">
        <v>0</v>
      </c>
      <c r="G60" s="174">
        <v>0</v>
      </c>
      <c r="I60" s="211">
        <f>(E60*$G$5)+(F60*$G$6)+(G60*$G$7)</f>
        <v>515.79999999999995</v>
      </c>
      <c r="J60" s="211">
        <f t="shared" si="13"/>
        <v>515.79999999999995</v>
      </c>
      <c r="K60" s="211">
        <f t="shared" si="14"/>
        <v>515.79999999999995</v>
      </c>
      <c r="L60" s="211">
        <f t="shared" si="15"/>
        <v>515.79999999999995</v>
      </c>
      <c r="M60" s="211">
        <f t="shared" si="16"/>
        <v>515.79999999999995</v>
      </c>
    </row>
    <row r="61" spans="1:13" ht="14.65" thickBot="1" x14ac:dyDescent="0.5">
      <c r="A61" s="174">
        <v>7</v>
      </c>
      <c r="B61" s="220" t="s">
        <v>188</v>
      </c>
      <c r="C61" s="174" t="s">
        <v>169</v>
      </c>
      <c r="D61" s="174" t="s">
        <v>190</v>
      </c>
      <c r="E61" s="174">
        <v>1</v>
      </c>
      <c r="F61" s="210">
        <v>0</v>
      </c>
      <c r="G61" s="174">
        <v>0</v>
      </c>
      <c r="I61" s="211">
        <f>(E61*$G$5)+(F61*$G$6)+(G61*$G$7)</f>
        <v>1031.5999999999999</v>
      </c>
      <c r="J61" s="211">
        <f t="shared" si="13"/>
        <v>1031.5999999999999</v>
      </c>
      <c r="K61" s="211">
        <f t="shared" si="14"/>
        <v>1031.5999999999999</v>
      </c>
      <c r="L61" s="211">
        <f t="shared" si="15"/>
        <v>1031.5999999999999</v>
      </c>
      <c r="M61" s="211">
        <f t="shared" si="16"/>
        <v>1031.5999999999999</v>
      </c>
    </row>
    <row r="62" spans="1:13" ht="14.65" thickBot="1" x14ac:dyDescent="0.5">
      <c r="A62" s="174">
        <v>7</v>
      </c>
      <c r="B62" s="220" t="s">
        <v>55</v>
      </c>
      <c r="C62" s="205" t="s">
        <v>171</v>
      </c>
      <c r="D62" s="205"/>
      <c r="E62" s="212">
        <f>SUM(E55:E61)</f>
        <v>5.5</v>
      </c>
      <c r="F62" s="210">
        <v>0</v>
      </c>
      <c r="G62" s="205"/>
      <c r="H62" s="205"/>
      <c r="I62" s="213">
        <f>SUM(I55:I61)</f>
        <v>7073.7999999999993</v>
      </c>
      <c r="J62" s="213">
        <f>SUM(J55:J61)</f>
        <v>5242.1999999999989</v>
      </c>
      <c r="K62" s="213">
        <f>SUM(K55:K61)</f>
        <v>5242.1999999999989</v>
      </c>
      <c r="L62" s="213">
        <f>SUM(L55:L61)</f>
        <v>5242.1999999999989</v>
      </c>
      <c r="M62" s="214">
        <f>SUM(M55:M61)</f>
        <v>5242.1999999999989</v>
      </c>
    </row>
    <row r="63" spans="1:13" x14ac:dyDescent="0.45">
      <c r="A63" s="174">
        <v>7</v>
      </c>
      <c r="B63" s="222"/>
      <c r="C63" s="216"/>
      <c r="D63" s="216"/>
      <c r="E63" s="216"/>
      <c r="F63" s="216"/>
      <c r="G63" s="216"/>
      <c r="H63" s="216"/>
      <c r="I63" s="217" t="s">
        <v>172</v>
      </c>
      <c r="J63" s="218"/>
      <c r="K63" s="218"/>
      <c r="L63" s="218"/>
      <c r="M63" s="218"/>
    </row>
    <row r="64" spans="1:13" x14ac:dyDescent="0.45">
      <c r="A64" s="174">
        <v>8</v>
      </c>
      <c r="B64" s="220" t="s">
        <v>191</v>
      </c>
      <c r="C64" s="174" t="s">
        <v>159</v>
      </c>
      <c r="D64" s="174" t="s">
        <v>160</v>
      </c>
      <c r="E64" s="174">
        <v>1</v>
      </c>
      <c r="F64" s="210">
        <v>0</v>
      </c>
      <c r="G64" s="174">
        <v>1</v>
      </c>
      <c r="I64" s="211">
        <f>(E64*$G$5)+(F64*$G$6)+(G64*$G$7)</f>
        <v>1831.6</v>
      </c>
      <c r="J64" s="211"/>
      <c r="K64" s="211"/>
      <c r="L64" s="211"/>
      <c r="M64" s="211"/>
    </row>
    <row r="65" spans="1:13" x14ac:dyDescent="0.45">
      <c r="A65" s="174">
        <v>8</v>
      </c>
      <c r="B65" s="220" t="s">
        <v>191</v>
      </c>
      <c r="C65" s="174" t="s">
        <v>161</v>
      </c>
      <c r="D65" s="174" t="s">
        <v>183</v>
      </c>
      <c r="E65" s="174">
        <v>0</v>
      </c>
      <c r="F65" s="210">
        <v>0</v>
      </c>
      <c r="G65" s="174">
        <v>0</v>
      </c>
      <c r="I65" s="211">
        <f>(E65*$G$5)+(F65*$G$6)+(G65*$G$7)</f>
        <v>0</v>
      </c>
      <c r="J65" s="211">
        <f t="shared" ref="J65:J70" si="17">I65</f>
        <v>0</v>
      </c>
      <c r="K65" s="211">
        <f t="shared" ref="K65:K70" si="18">I65</f>
        <v>0</v>
      </c>
      <c r="L65" s="211">
        <f t="shared" ref="L65:L70" si="19">I65</f>
        <v>0</v>
      </c>
      <c r="M65" s="211">
        <f t="shared" ref="M65:M70" si="20">I65</f>
        <v>0</v>
      </c>
    </row>
    <row r="66" spans="1:13" x14ac:dyDescent="0.45">
      <c r="A66" s="174">
        <v>8</v>
      </c>
      <c r="B66" s="220" t="s">
        <v>191</v>
      </c>
      <c r="C66" s="174" t="s">
        <v>162</v>
      </c>
      <c r="D66" s="174" t="s">
        <v>192</v>
      </c>
      <c r="E66" s="174">
        <v>2</v>
      </c>
      <c r="F66" s="210">
        <v>0</v>
      </c>
      <c r="G66" s="174">
        <v>0</v>
      </c>
      <c r="I66" s="211">
        <f>(E66*$G$5)+(F66*$G$6)+(G66*$G$7)</f>
        <v>2063.1999999999998</v>
      </c>
      <c r="J66" s="211">
        <f t="shared" si="17"/>
        <v>2063.1999999999998</v>
      </c>
      <c r="K66" s="211">
        <f t="shared" si="18"/>
        <v>2063.1999999999998</v>
      </c>
      <c r="L66" s="211">
        <f t="shared" si="19"/>
        <v>2063.1999999999998</v>
      </c>
      <c r="M66" s="211">
        <f t="shared" si="20"/>
        <v>2063.1999999999998</v>
      </c>
    </row>
    <row r="67" spans="1:13" x14ac:dyDescent="0.45">
      <c r="A67" s="174">
        <v>8</v>
      </c>
      <c r="B67" s="220" t="s">
        <v>191</v>
      </c>
      <c r="C67" s="174" t="s">
        <v>164</v>
      </c>
      <c r="E67" s="174">
        <v>0</v>
      </c>
      <c r="F67" s="210">
        <v>0</v>
      </c>
      <c r="G67" s="174">
        <v>0</v>
      </c>
      <c r="H67" s="174">
        <v>600</v>
      </c>
      <c r="I67" s="211">
        <f>H67</f>
        <v>600</v>
      </c>
      <c r="J67" s="211">
        <f t="shared" si="17"/>
        <v>600</v>
      </c>
      <c r="K67" s="211">
        <f t="shared" si="18"/>
        <v>600</v>
      </c>
      <c r="L67" s="211">
        <f t="shared" si="19"/>
        <v>600</v>
      </c>
      <c r="M67" s="211">
        <f t="shared" si="20"/>
        <v>600</v>
      </c>
    </row>
    <row r="68" spans="1:13" x14ac:dyDescent="0.45">
      <c r="A68" s="174">
        <v>8</v>
      </c>
      <c r="B68" s="220" t="s">
        <v>191</v>
      </c>
      <c r="C68" s="174" t="s">
        <v>165</v>
      </c>
      <c r="D68" s="174" t="s">
        <v>193</v>
      </c>
      <c r="E68" s="174">
        <v>1</v>
      </c>
      <c r="F68" s="210">
        <v>0</v>
      </c>
      <c r="G68" s="174">
        <v>0</v>
      </c>
      <c r="I68" s="211">
        <f>(E68*$G$5)+(F68*$G$6)+(G68*$G$7)</f>
        <v>1031.5999999999999</v>
      </c>
      <c r="J68" s="211">
        <f t="shared" si="17"/>
        <v>1031.5999999999999</v>
      </c>
      <c r="K68" s="211">
        <f t="shared" si="18"/>
        <v>1031.5999999999999</v>
      </c>
      <c r="L68" s="211">
        <f t="shared" si="19"/>
        <v>1031.5999999999999</v>
      </c>
      <c r="M68" s="211">
        <f t="shared" si="20"/>
        <v>1031.5999999999999</v>
      </c>
    </row>
    <row r="69" spans="1:13" x14ac:dyDescent="0.45">
      <c r="A69" s="174">
        <v>8</v>
      </c>
      <c r="B69" s="220" t="s">
        <v>191</v>
      </c>
      <c r="C69" s="174" t="s">
        <v>167</v>
      </c>
      <c r="D69" s="174" t="s">
        <v>194</v>
      </c>
      <c r="E69" s="174">
        <v>0.5</v>
      </c>
      <c r="F69" s="210">
        <v>0</v>
      </c>
      <c r="G69" s="174">
        <v>0</v>
      </c>
      <c r="I69" s="211">
        <f>(E69*$G$5)+(F69*$G$6)+(G69*$G$7)</f>
        <v>515.79999999999995</v>
      </c>
      <c r="J69" s="211">
        <f t="shared" si="17"/>
        <v>515.79999999999995</v>
      </c>
      <c r="K69" s="211">
        <f t="shared" si="18"/>
        <v>515.79999999999995</v>
      </c>
      <c r="L69" s="211">
        <f t="shared" si="19"/>
        <v>515.79999999999995</v>
      </c>
      <c r="M69" s="211">
        <f t="shared" si="20"/>
        <v>515.79999999999995</v>
      </c>
    </row>
    <row r="70" spans="1:13" ht="14.65" thickBot="1" x14ac:dyDescent="0.5">
      <c r="A70" s="174">
        <v>8</v>
      </c>
      <c r="B70" s="220" t="s">
        <v>191</v>
      </c>
      <c r="C70" s="174" t="s">
        <v>169</v>
      </c>
      <c r="D70" s="174" t="s">
        <v>195</v>
      </c>
      <c r="E70" s="174">
        <v>1</v>
      </c>
      <c r="F70" s="210">
        <v>0</v>
      </c>
      <c r="G70" s="174">
        <v>0</v>
      </c>
      <c r="I70" s="211">
        <f>(E70*$G$5)+(F70*$G$6)+(G70*$G$7)</f>
        <v>1031.5999999999999</v>
      </c>
      <c r="J70" s="211">
        <f t="shared" si="17"/>
        <v>1031.5999999999999</v>
      </c>
      <c r="K70" s="211">
        <f t="shared" si="18"/>
        <v>1031.5999999999999</v>
      </c>
      <c r="L70" s="211">
        <f t="shared" si="19"/>
        <v>1031.5999999999999</v>
      </c>
      <c r="M70" s="211">
        <f t="shared" si="20"/>
        <v>1031.5999999999999</v>
      </c>
    </row>
    <row r="71" spans="1:13" ht="14.65" thickBot="1" x14ac:dyDescent="0.5">
      <c r="A71" s="174">
        <v>8</v>
      </c>
      <c r="B71" s="220" t="s">
        <v>56</v>
      </c>
      <c r="C71" s="205" t="s">
        <v>171</v>
      </c>
      <c r="D71" s="205"/>
      <c r="E71" s="212">
        <f>SUM(E64:E70)</f>
        <v>5.5</v>
      </c>
      <c r="F71" s="210">
        <v>0</v>
      </c>
      <c r="G71" s="205"/>
      <c r="H71" s="205"/>
      <c r="I71" s="213">
        <f>SUM(I64:I70)</f>
        <v>7073.7999999999993</v>
      </c>
      <c r="J71" s="213">
        <f>SUM(J64:J70)</f>
        <v>5242.1999999999989</v>
      </c>
      <c r="K71" s="213">
        <f>SUM(K64:K70)</f>
        <v>5242.1999999999989</v>
      </c>
      <c r="L71" s="213">
        <f>SUM(L64:L70)</f>
        <v>5242.1999999999989</v>
      </c>
      <c r="M71" s="214">
        <f>SUM(M64:M70)</f>
        <v>5242.1999999999989</v>
      </c>
    </row>
    <row r="72" spans="1:13" x14ac:dyDescent="0.45">
      <c r="A72" s="174">
        <v>8</v>
      </c>
      <c r="B72" s="222"/>
      <c r="C72" s="216"/>
      <c r="D72" s="216"/>
      <c r="E72" s="216"/>
      <c r="F72" s="216"/>
      <c r="G72" s="216"/>
      <c r="H72" s="216"/>
      <c r="I72" s="217" t="s">
        <v>172</v>
      </c>
      <c r="J72" s="218"/>
      <c r="K72" s="218"/>
      <c r="L72" s="218"/>
      <c r="M72" s="218"/>
    </row>
    <row r="73" spans="1:13" x14ac:dyDescent="0.45">
      <c r="A73" s="174">
        <v>9</v>
      </c>
      <c r="B73" s="220" t="s">
        <v>196</v>
      </c>
      <c r="C73" s="174" t="s">
        <v>159</v>
      </c>
      <c r="D73" s="174" t="s">
        <v>160</v>
      </c>
      <c r="E73" s="174">
        <v>1</v>
      </c>
      <c r="F73" s="210">
        <v>0</v>
      </c>
      <c r="G73" s="174">
        <v>1</v>
      </c>
      <c r="I73" s="211">
        <f>(E73*$G$5)+(F73*$G$6)+(G73*$G$7)</f>
        <v>1831.6</v>
      </c>
      <c r="J73" s="211"/>
      <c r="K73" s="211"/>
      <c r="L73" s="211"/>
      <c r="M73" s="211"/>
    </row>
    <row r="74" spans="1:13" x14ac:dyDescent="0.45">
      <c r="A74" s="174">
        <v>9</v>
      </c>
      <c r="B74" s="220" t="s">
        <v>196</v>
      </c>
      <c r="C74" s="174" t="s">
        <v>161</v>
      </c>
      <c r="F74" s="210">
        <v>0</v>
      </c>
      <c r="G74" s="174">
        <v>0</v>
      </c>
      <c r="I74" s="211">
        <f>(E74*$G$5)+(F74*$G$6)+(G74*$G$7)</f>
        <v>0</v>
      </c>
      <c r="J74" s="211">
        <f t="shared" ref="J74:J79" si="21">I74</f>
        <v>0</v>
      </c>
      <c r="K74" s="211">
        <f t="shared" ref="K74:K79" si="22">I74</f>
        <v>0</v>
      </c>
      <c r="L74" s="211">
        <f t="shared" ref="L74:L79" si="23">I74</f>
        <v>0</v>
      </c>
      <c r="M74" s="211">
        <f t="shared" ref="M74:M79" si="24">I74</f>
        <v>0</v>
      </c>
    </row>
    <row r="75" spans="1:13" ht="28.5" x14ac:dyDescent="0.45">
      <c r="A75" s="174">
        <v>9</v>
      </c>
      <c r="B75" s="220" t="s">
        <v>196</v>
      </c>
      <c r="C75" s="174" t="s">
        <v>162</v>
      </c>
      <c r="D75" s="224" t="s">
        <v>197</v>
      </c>
      <c r="E75" s="174">
        <v>2</v>
      </c>
      <c r="F75" s="210">
        <v>0</v>
      </c>
      <c r="G75" s="174">
        <v>0</v>
      </c>
      <c r="I75" s="211">
        <f>(E75*$G$5)+(F75*$G$6)+(G75*$G$7)</f>
        <v>2063.1999999999998</v>
      </c>
      <c r="J75" s="211">
        <f t="shared" si="21"/>
        <v>2063.1999999999998</v>
      </c>
      <c r="K75" s="211">
        <f t="shared" si="22"/>
        <v>2063.1999999999998</v>
      </c>
      <c r="L75" s="211">
        <f t="shared" si="23"/>
        <v>2063.1999999999998</v>
      </c>
      <c r="M75" s="211">
        <f t="shared" si="24"/>
        <v>2063.1999999999998</v>
      </c>
    </row>
    <row r="76" spans="1:13" x14ac:dyDescent="0.45">
      <c r="A76" s="174">
        <v>9</v>
      </c>
      <c r="B76" s="220" t="s">
        <v>196</v>
      </c>
      <c r="C76" s="174" t="s">
        <v>164</v>
      </c>
      <c r="E76" s="174">
        <v>0</v>
      </c>
      <c r="F76" s="210">
        <v>0</v>
      </c>
      <c r="G76" s="174">
        <v>0</v>
      </c>
      <c r="H76" s="174">
        <v>600</v>
      </c>
      <c r="I76" s="211">
        <f>H76</f>
        <v>600</v>
      </c>
      <c r="J76" s="211">
        <f t="shared" si="21"/>
        <v>600</v>
      </c>
      <c r="K76" s="211">
        <f t="shared" si="22"/>
        <v>600</v>
      </c>
      <c r="L76" s="211">
        <f t="shared" si="23"/>
        <v>600</v>
      </c>
      <c r="M76" s="211">
        <f t="shared" si="24"/>
        <v>600</v>
      </c>
    </row>
    <row r="77" spans="1:13" x14ac:dyDescent="0.45">
      <c r="A77" s="174">
        <v>9</v>
      </c>
      <c r="B77" s="220" t="s">
        <v>196</v>
      </c>
      <c r="C77" s="174" t="s">
        <v>165</v>
      </c>
      <c r="D77" s="174" t="s">
        <v>166</v>
      </c>
      <c r="E77" s="174">
        <v>1</v>
      </c>
      <c r="F77" s="210">
        <v>0</v>
      </c>
      <c r="G77" s="174">
        <v>0</v>
      </c>
      <c r="I77" s="211">
        <f>(E77*$G$5)+(F77*$G$6)+(G77*$G$7)</f>
        <v>1031.5999999999999</v>
      </c>
      <c r="J77" s="211">
        <f t="shared" si="21"/>
        <v>1031.5999999999999</v>
      </c>
      <c r="K77" s="211">
        <f t="shared" si="22"/>
        <v>1031.5999999999999</v>
      </c>
      <c r="L77" s="211">
        <f t="shared" si="23"/>
        <v>1031.5999999999999</v>
      </c>
      <c r="M77" s="211">
        <f t="shared" si="24"/>
        <v>1031.5999999999999</v>
      </c>
    </row>
    <row r="78" spans="1:13" x14ac:dyDescent="0.45">
      <c r="A78" s="174">
        <v>9</v>
      </c>
      <c r="B78" s="220" t="s">
        <v>196</v>
      </c>
      <c r="C78" s="174" t="s">
        <v>167</v>
      </c>
      <c r="E78" s="174">
        <v>0.5</v>
      </c>
      <c r="F78" s="210">
        <v>0</v>
      </c>
      <c r="G78" s="174">
        <v>0</v>
      </c>
      <c r="I78" s="211">
        <f>(E78*$G$5)+(F78*$G$6)+(G78*$G$7)</f>
        <v>515.79999999999995</v>
      </c>
      <c r="J78" s="211">
        <f t="shared" si="21"/>
        <v>515.79999999999995</v>
      </c>
      <c r="K78" s="211">
        <f t="shared" si="22"/>
        <v>515.79999999999995</v>
      </c>
      <c r="L78" s="211">
        <f t="shared" si="23"/>
        <v>515.79999999999995</v>
      </c>
      <c r="M78" s="211">
        <f t="shared" si="24"/>
        <v>515.79999999999995</v>
      </c>
    </row>
    <row r="79" spans="1:13" ht="14.65" thickBot="1" x14ac:dyDescent="0.5">
      <c r="A79" s="174">
        <v>9</v>
      </c>
      <c r="B79" s="220" t="s">
        <v>196</v>
      </c>
      <c r="C79" s="174" t="s">
        <v>169</v>
      </c>
      <c r="E79" s="174">
        <v>1</v>
      </c>
      <c r="F79" s="210">
        <v>0</v>
      </c>
      <c r="G79" s="174">
        <v>0</v>
      </c>
      <c r="I79" s="211">
        <f>(E79*$G$5)+(F79*$G$6)+(G79*$G$7)</f>
        <v>1031.5999999999999</v>
      </c>
      <c r="J79" s="211">
        <f t="shared" si="21"/>
        <v>1031.5999999999999</v>
      </c>
      <c r="K79" s="211">
        <f t="shared" si="22"/>
        <v>1031.5999999999999</v>
      </c>
      <c r="L79" s="211">
        <f t="shared" si="23"/>
        <v>1031.5999999999999</v>
      </c>
      <c r="M79" s="211">
        <f t="shared" si="24"/>
        <v>1031.5999999999999</v>
      </c>
    </row>
    <row r="80" spans="1:13" ht="14.65" thickBot="1" x14ac:dyDescent="0.5">
      <c r="A80" s="174">
        <v>9</v>
      </c>
      <c r="B80" s="220" t="s">
        <v>57</v>
      </c>
      <c r="C80" s="205" t="s">
        <v>171</v>
      </c>
      <c r="D80" s="205"/>
      <c r="E80" s="212">
        <f>SUM(E73:E79)</f>
        <v>5.5</v>
      </c>
      <c r="F80" s="210">
        <v>0</v>
      </c>
      <c r="G80" s="205"/>
      <c r="H80" s="205"/>
      <c r="I80" s="213">
        <f>SUM(I73:I79)</f>
        <v>7073.7999999999993</v>
      </c>
      <c r="J80" s="213">
        <f>SUM(J73:J79)</f>
        <v>5242.1999999999989</v>
      </c>
      <c r="K80" s="213">
        <f>SUM(K73:K79)</f>
        <v>5242.1999999999989</v>
      </c>
      <c r="L80" s="213">
        <f>SUM(L73:L79)</f>
        <v>5242.1999999999989</v>
      </c>
      <c r="M80" s="214">
        <f>SUM(M73:M79)</f>
        <v>5242.1999999999989</v>
      </c>
    </row>
    <row r="81" spans="1:13" x14ac:dyDescent="0.45">
      <c r="A81" s="174">
        <v>9</v>
      </c>
      <c r="B81" s="222"/>
      <c r="C81" s="216"/>
      <c r="D81" s="216"/>
      <c r="E81" s="216"/>
      <c r="F81" s="216"/>
      <c r="G81" s="216"/>
      <c r="H81" s="216"/>
      <c r="I81" s="217" t="s">
        <v>172</v>
      </c>
      <c r="J81" s="218"/>
      <c r="K81" s="218"/>
      <c r="L81" s="218"/>
      <c r="M81" s="218"/>
    </row>
    <row r="82" spans="1:13" x14ac:dyDescent="0.45">
      <c r="A82" s="174">
        <v>10</v>
      </c>
      <c r="B82" s="220" t="s">
        <v>198</v>
      </c>
      <c r="C82" s="174" t="s">
        <v>159</v>
      </c>
      <c r="D82" s="174" t="s">
        <v>160</v>
      </c>
      <c r="E82" s="174">
        <v>1</v>
      </c>
      <c r="F82" s="210">
        <v>0</v>
      </c>
      <c r="G82" s="174">
        <v>1</v>
      </c>
      <c r="I82" s="211">
        <f>(E82*$G$5)+(F82*$G$6)+(G82*$G$7)</f>
        <v>1831.6</v>
      </c>
      <c r="J82" s="211"/>
      <c r="K82" s="211"/>
      <c r="L82" s="211"/>
      <c r="M82" s="211"/>
    </row>
    <row r="83" spans="1:13" x14ac:dyDescent="0.45">
      <c r="A83" s="174">
        <v>10</v>
      </c>
      <c r="B83" s="220" t="s">
        <v>198</v>
      </c>
      <c r="C83" s="174" t="s">
        <v>161</v>
      </c>
      <c r="D83" s="174" t="s">
        <v>183</v>
      </c>
      <c r="F83" s="210">
        <v>0</v>
      </c>
      <c r="G83" s="174">
        <v>0</v>
      </c>
      <c r="I83" s="211">
        <f>(E83*$G$5)+(F83*$G$6)+(G83*$G$7)</f>
        <v>0</v>
      </c>
      <c r="J83" s="211">
        <f t="shared" ref="J83:J88" si="25">I83</f>
        <v>0</v>
      </c>
      <c r="K83" s="211">
        <f t="shared" ref="K83:K88" si="26">I83</f>
        <v>0</v>
      </c>
      <c r="L83" s="211">
        <f t="shared" ref="L83:L88" si="27">I83</f>
        <v>0</v>
      </c>
      <c r="M83" s="211">
        <f t="shared" ref="M83:M88" si="28">I83</f>
        <v>0</v>
      </c>
    </row>
    <row r="84" spans="1:13" x14ac:dyDescent="0.45">
      <c r="A84" s="174">
        <v>10</v>
      </c>
      <c r="B84" s="220" t="s">
        <v>198</v>
      </c>
      <c r="C84" s="174" t="s">
        <v>162</v>
      </c>
      <c r="D84" s="174" t="s">
        <v>184</v>
      </c>
      <c r="E84" s="174">
        <v>2</v>
      </c>
      <c r="F84" s="210">
        <v>0</v>
      </c>
      <c r="G84" s="174">
        <v>0</v>
      </c>
      <c r="I84" s="211">
        <f>(E84*$G$5)+(F84*$G$6)+(G84*$G$7)</f>
        <v>2063.1999999999998</v>
      </c>
      <c r="J84" s="211">
        <f t="shared" si="25"/>
        <v>2063.1999999999998</v>
      </c>
      <c r="K84" s="211">
        <f t="shared" si="26"/>
        <v>2063.1999999999998</v>
      </c>
      <c r="L84" s="211">
        <f t="shared" si="27"/>
        <v>2063.1999999999998</v>
      </c>
      <c r="M84" s="211">
        <f t="shared" si="28"/>
        <v>2063.1999999999998</v>
      </c>
    </row>
    <row r="85" spans="1:13" x14ac:dyDescent="0.45">
      <c r="A85" s="174">
        <v>10</v>
      </c>
      <c r="B85" s="220" t="s">
        <v>198</v>
      </c>
      <c r="C85" s="174" t="s">
        <v>164</v>
      </c>
      <c r="E85" s="174">
        <v>0</v>
      </c>
      <c r="F85" s="210">
        <v>0</v>
      </c>
      <c r="G85" s="174">
        <v>0</v>
      </c>
      <c r="H85" s="174">
        <v>600</v>
      </c>
      <c r="I85" s="211">
        <f>H85</f>
        <v>600</v>
      </c>
      <c r="J85" s="211">
        <f t="shared" si="25"/>
        <v>600</v>
      </c>
      <c r="K85" s="211">
        <f t="shared" si="26"/>
        <v>600</v>
      </c>
      <c r="L85" s="211">
        <f t="shared" si="27"/>
        <v>600</v>
      </c>
      <c r="M85" s="211">
        <f t="shared" si="28"/>
        <v>600</v>
      </c>
    </row>
    <row r="86" spans="1:13" x14ac:dyDescent="0.45">
      <c r="A86" s="174">
        <v>10</v>
      </c>
      <c r="B86" s="220" t="s">
        <v>198</v>
      </c>
      <c r="C86" s="174" t="s">
        <v>165</v>
      </c>
      <c r="D86" s="174" t="s">
        <v>166</v>
      </c>
      <c r="E86" s="174">
        <v>2</v>
      </c>
      <c r="F86" s="210">
        <v>0</v>
      </c>
      <c r="G86" s="174">
        <v>0</v>
      </c>
      <c r="I86" s="211">
        <f>(E86*$G$5)+(F86*$G$6)+(G86*$G$7)</f>
        <v>2063.1999999999998</v>
      </c>
      <c r="J86" s="211">
        <f t="shared" si="25"/>
        <v>2063.1999999999998</v>
      </c>
      <c r="K86" s="211">
        <f t="shared" si="26"/>
        <v>2063.1999999999998</v>
      </c>
      <c r="L86" s="211">
        <f t="shared" si="27"/>
        <v>2063.1999999999998</v>
      </c>
      <c r="M86" s="211">
        <f t="shared" si="28"/>
        <v>2063.1999999999998</v>
      </c>
    </row>
    <row r="87" spans="1:13" x14ac:dyDescent="0.45">
      <c r="A87" s="174">
        <v>10</v>
      </c>
      <c r="B87" s="220" t="s">
        <v>198</v>
      </c>
      <c r="C87" s="174" t="s">
        <v>167</v>
      </c>
      <c r="E87" s="174">
        <v>0.5</v>
      </c>
      <c r="F87" s="210">
        <v>0</v>
      </c>
      <c r="G87" s="174">
        <v>0</v>
      </c>
      <c r="I87" s="211">
        <f>(E87*$G$5)+(F87*$G$6)+(G87*$G$7)</f>
        <v>515.79999999999995</v>
      </c>
      <c r="J87" s="211">
        <f t="shared" si="25"/>
        <v>515.79999999999995</v>
      </c>
      <c r="K87" s="211">
        <f t="shared" si="26"/>
        <v>515.79999999999995</v>
      </c>
      <c r="L87" s="211">
        <f t="shared" si="27"/>
        <v>515.79999999999995</v>
      </c>
      <c r="M87" s="211">
        <f t="shared" si="28"/>
        <v>515.79999999999995</v>
      </c>
    </row>
    <row r="88" spans="1:13" ht="14.65" thickBot="1" x14ac:dyDescent="0.5">
      <c r="A88" s="174">
        <v>10</v>
      </c>
      <c r="B88" s="220" t="s">
        <v>198</v>
      </c>
      <c r="C88" s="174" t="s">
        <v>169</v>
      </c>
      <c r="E88" s="174">
        <v>1</v>
      </c>
      <c r="F88" s="210">
        <v>0</v>
      </c>
      <c r="G88" s="174">
        <v>0</v>
      </c>
      <c r="I88" s="211">
        <f>(E88*$G$5)+(F88*$G$6)+(G88*$G$7)</f>
        <v>1031.5999999999999</v>
      </c>
      <c r="J88" s="211">
        <f t="shared" si="25"/>
        <v>1031.5999999999999</v>
      </c>
      <c r="K88" s="211">
        <f t="shared" si="26"/>
        <v>1031.5999999999999</v>
      </c>
      <c r="L88" s="211">
        <f t="shared" si="27"/>
        <v>1031.5999999999999</v>
      </c>
      <c r="M88" s="211">
        <f t="shared" si="28"/>
        <v>1031.5999999999999</v>
      </c>
    </row>
    <row r="89" spans="1:13" ht="14.65" thickBot="1" x14ac:dyDescent="0.5">
      <c r="A89" s="174">
        <v>10</v>
      </c>
      <c r="B89" s="220" t="s">
        <v>58</v>
      </c>
      <c r="C89" s="205" t="s">
        <v>171</v>
      </c>
      <c r="D89" s="205"/>
      <c r="E89" s="212">
        <f>SUM(E82:E88)</f>
        <v>6.5</v>
      </c>
      <c r="F89" s="210">
        <v>0</v>
      </c>
      <c r="G89" s="205"/>
      <c r="H89" s="205"/>
      <c r="I89" s="213">
        <f>SUM(I82:I88)</f>
        <v>8105.4</v>
      </c>
      <c r="J89" s="213">
        <f>SUM(J82:J88)</f>
        <v>6273.7999999999993</v>
      </c>
      <c r="K89" s="213">
        <f>SUM(K82:K88)</f>
        <v>6273.7999999999993</v>
      </c>
      <c r="L89" s="213">
        <f>SUM(L82:L88)</f>
        <v>6273.7999999999993</v>
      </c>
      <c r="M89" s="214">
        <f>SUM(M82:M88)</f>
        <v>6273.7999999999993</v>
      </c>
    </row>
    <row r="90" spans="1:13" x14ac:dyDescent="0.45">
      <c r="A90" s="174">
        <v>10</v>
      </c>
      <c r="B90" s="222"/>
      <c r="C90" s="216"/>
      <c r="D90" s="216"/>
      <c r="E90" s="216"/>
      <c r="F90" s="216"/>
      <c r="G90" s="216"/>
      <c r="H90" s="216"/>
      <c r="I90" s="217" t="s">
        <v>172</v>
      </c>
      <c r="J90" s="218"/>
      <c r="K90" s="218"/>
      <c r="L90" s="218"/>
      <c r="M90" s="218"/>
    </row>
    <row r="91" spans="1:13" x14ac:dyDescent="0.45">
      <c r="A91" s="174">
        <v>11</v>
      </c>
      <c r="B91" s="220" t="s">
        <v>199</v>
      </c>
      <c r="C91" s="174" t="s">
        <v>159</v>
      </c>
      <c r="D91" s="174" t="s">
        <v>160</v>
      </c>
      <c r="E91" s="174">
        <v>1</v>
      </c>
      <c r="F91" s="210">
        <v>0</v>
      </c>
      <c r="G91" s="174">
        <v>1</v>
      </c>
      <c r="I91" s="211">
        <f>(E91*$G$5)+(F91*$G$6)+(G91*$G$7)</f>
        <v>1831.6</v>
      </c>
      <c r="J91" s="211"/>
      <c r="K91" s="211"/>
      <c r="L91" s="211"/>
      <c r="M91" s="211"/>
    </row>
    <row r="92" spans="1:13" x14ac:dyDescent="0.45">
      <c r="A92" s="174">
        <v>11</v>
      </c>
      <c r="B92" s="220" t="s">
        <v>199</v>
      </c>
      <c r="C92" s="174" t="s">
        <v>161</v>
      </c>
      <c r="D92" s="174" t="s">
        <v>183</v>
      </c>
      <c r="E92" s="174">
        <v>0</v>
      </c>
      <c r="F92" s="210">
        <v>0</v>
      </c>
      <c r="G92" s="174">
        <v>0</v>
      </c>
      <c r="I92" s="211">
        <f>(E92*$G$5)+(F92*$G$6)+(G92*$G$7)</f>
        <v>0</v>
      </c>
      <c r="J92" s="211">
        <f t="shared" ref="J92:J97" si="29">I92</f>
        <v>0</v>
      </c>
      <c r="K92" s="211">
        <f t="shared" ref="K92:K97" si="30">I92</f>
        <v>0</v>
      </c>
      <c r="L92" s="211">
        <f t="shared" ref="L92:L97" si="31">I92</f>
        <v>0</v>
      </c>
      <c r="M92" s="211">
        <f t="shared" ref="M92:M97" si="32">I92</f>
        <v>0</v>
      </c>
    </row>
    <row r="93" spans="1:13" x14ac:dyDescent="0.45">
      <c r="A93" s="174">
        <v>11</v>
      </c>
      <c r="B93" s="220" t="s">
        <v>199</v>
      </c>
      <c r="C93" s="174" t="s">
        <v>162</v>
      </c>
      <c r="D93" s="174" t="s">
        <v>184</v>
      </c>
      <c r="E93" s="174">
        <v>2</v>
      </c>
      <c r="F93" s="210">
        <v>0</v>
      </c>
      <c r="G93" s="174">
        <v>0</v>
      </c>
      <c r="I93" s="211">
        <f>(E93*$G$5)+(F93*$G$6)+(G93*$G$7)</f>
        <v>2063.1999999999998</v>
      </c>
      <c r="J93" s="211">
        <f t="shared" si="29"/>
        <v>2063.1999999999998</v>
      </c>
      <c r="K93" s="211">
        <f t="shared" si="30"/>
        <v>2063.1999999999998</v>
      </c>
      <c r="L93" s="211">
        <f t="shared" si="31"/>
        <v>2063.1999999999998</v>
      </c>
      <c r="M93" s="211">
        <f t="shared" si="32"/>
        <v>2063.1999999999998</v>
      </c>
    </row>
    <row r="94" spans="1:13" x14ac:dyDescent="0.45">
      <c r="A94" s="174">
        <v>11</v>
      </c>
      <c r="B94" s="220" t="s">
        <v>199</v>
      </c>
      <c r="C94" s="174" t="s">
        <v>164</v>
      </c>
      <c r="E94" s="174">
        <v>0</v>
      </c>
      <c r="F94" s="210">
        <v>0</v>
      </c>
      <c r="G94" s="174">
        <v>0</v>
      </c>
      <c r="H94" s="174">
        <v>600</v>
      </c>
      <c r="I94" s="211">
        <f>H94</f>
        <v>600</v>
      </c>
      <c r="J94" s="211">
        <f t="shared" si="29"/>
        <v>600</v>
      </c>
      <c r="K94" s="211">
        <f t="shared" si="30"/>
        <v>600</v>
      </c>
      <c r="L94" s="211">
        <f t="shared" si="31"/>
        <v>600</v>
      </c>
      <c r="M94" s="211">
        <f t="shared" si="32"/>
        <v>600</v>
      </c>
    </row>
    <row r="95" spans="1:13" x14ac:dyDescent="0.45">
      <c r="A95" s="174">
        <v>11</v>
      </c>
      <c r="B95" s="220" t="s">
        <v>199</v>
      </c>
      <c r="C95" s="174" t="s">
        <v>165</v>
      </c>
      <c r="D95" s="174" t="s">
        <v>166</v>
      </c>
      <c r="E95" s="174">
        <v>2</v>
      </c>
      <c r="F95" s="210">
        <v>0</v>
      </c>
      <c r="G95" s="174">
        <v>0</v>
      </c>
      <c r="I95" s="211">
        <f>(E95*$G$5)+(F95*$G$6)+(G95*$G$7)</f>
        <v>2063.1999999999998</v>
      </c>
      <c r="J95" s="211">
        <f t="shared" si="29"/>
        <v>2063.1999999999998</v>
      </c>
      <c r="K95" s="211">
        <f t="shared" si="30"/>
        <v>2063.1999999999998</v>
      </c>
      <c r="L95" s="211">
        <f t="shared" si="31"/>
        <v>2063.1999999999998</v>
      </c>
      <c r="M95" s="211">
        <f t="shared" si="32"/>
        <v>2063.1999999999998</v>
      </c>
    </row>
    <row r="96" spans="1:13" x14ac:dyDescent="0.45">
      <c r="A96" s="174">
        <v>11</v>
      </c>
      <c r="B96" s="220" t="s">
        <v>199</v>
      </c>
      <c r="C96" s="174" t="s">
        <v>167</v>
      </c>
      <c r="E96" s="174">
        <v>1</v>
      </c>
      <c r="F96" s="210">
        <v>0</v>
      </c>
      <c r="G96" s="174">
        <v>0</v>
      </c>
      <c r="I96" s="211">
        <f>(E96*$G$5)+(F96*$G$6)+(G96*$G$7)</f>
        <v>1031.5999999999999</v>
      </c>
      <c r="J96" s="211">
        <f t="shared" si="29"/>
        <v>1031.5999999999999</v>
      </c>
      <c r="K96" s="211">
        <f t="shared" si="30"/>
        <v>1031.5999999999999</v>
      </c>
      <c r="L96" s="211">
        <f t="shared" si="31"/>
        <v>1031.5999999999999</v>
      </c>
      <c r="M96" s="211">
        <f t="shared" si="32"/>
        <v>1031.5999999999999</v>
      </c>
    </row>
    <row r="97" spans="1:13" ht="14.65" thickBot="1" x14ac:dyDescent="0.5">
      <c r="A97" s="174">
        <v>11</v>
      </c>
      <c r="B97" s="220" t="s">
        <v>199</v>
      </c>
      <c r="C97" s="174" t="s">
        <v>169</v>
      </c>
      <c r="E97" s="174">
        <v>2</v>
      </c>
      <c r="F97" s="210">
        <v>0</v>
      </c>
      <c r="G97" s="174">
        <v>0</v>
      </c>
      <c r="I97" s="211">
        <f>(E97*$G$5)+(F97*$G$6)+(G97*$G$7)</f>
        <v>2063.1999999999998</v>
      </c>
      <c r="J97" s="211">
        <f t="shared" si="29"/>
        <v>2063.1999999999998</v>
      </c>
      <c r="K97" s="211">
        <f t="shared" si="30"/>
        <v>2063.1999999999998</v>
      </c>
      <c r="L97" s="211">
        <f t="shared" si="31"/>
        <v>2063.1999999999998</v>
      </c>
      <c r="M97" s="211">
        <f t="shared" si="32"/>
        <v>2063.1999999999998</v>
      </c>
    </row>
    <row r="98" spans="1:13" ht="14.65" thickBot="1" x14ac:dyDescent="0.5">
      <c r="A98" s="174">
        <v>11</v>
      </c>
      <c r="B98" s="220" t="s">
        <v>59</v>
      </c>
      <c r="C98" s="205" t="s">
        <v>171</v>
      </c>
      <c r="D98" s="205"/>
      <c r="E98" s="212">
        <f>SUM(E91:E97)</f>
        <v>8</v>
      </c>
      <c r="F98" s="210">
        <v>0</v>
      </c>
      <c r="G98" s="205"/>
      <c r="H98" s="205"/>
      <c r="I98" s="213">
        <f>SUM(I91:I97)</f>
        <v>9652.7999999999993</v>
      </c>
      <c r="J98" s="213">
        <f>SUM(J91:J97)</f>
        <v>7821.2</v>
      </c>
      <c r="K98" s="213">
        <f>SUM(K91:K97)</f>
        <v>7821.2</v>
      </c>
      <c r="L98" s="213">
        <f>SUM(L91:L97)</f>
        <v>7821.2</v>
      </c>
      <c r="M98" s="214">
        <f>SUM(M91:M97)</f>
        <v>7821.2</v>
      </c>
    </row>
    <row r="99" spans="1:13" x14ac:dyDescent="0.45">
      <c r="A99" s="174">
        <v>11</v>
      </c>
      <c r="B99" s="222"/>
      <c r="C99" s="216"/>
      <c r="D99" s="216"/>
      <c r="E99" s="216"/>
      <c r="F99" s="216"/>
      <c r="G99" s="216"/>
      <c r="H99" s="216"/>
      <c r="I99" s="217" t="s">
        <v>172</v>
      </c>
      <c r="J99" s="218"/>
      <c r="K99" s="218"/>
      <c r="L99" s="218"/>
      <c r="M99" s="218"/>
    </row>
    <row r="100" spans="1:13" x14ac:dyDescent="0.45">
      <c r="A100" s="174">
        <v>12</v>
      </c>
      <c r="B100" s="220" t="s">
        <v>200</v>
      </c>
      <c r="C100" s="174" t="s">
        <v>159</v>
      </c>
      <c r="D100" s="174" t="s">
        <v>160</v>
      </c>
      <c r="E100" s="174">
        <v>1</v>
      </c>
      <c r="F100" s="210">
        <v>0</v>
      </c>
      <c r="G100" s="174">
        <v>1</v>
      </c>
      <c r="I100" s="211">
        <f>(E100*$G$5)+(F100*$G$6)+(G100*$G$7)</f>
        <v>1831.6</v>
      </c>
      <c r="J100" s="211"/>
      <c r="K100" s="211"/>
      <c r="L100" s="211"/>
      <c r="M100" s="211"/>
    </row>
    <row r="101" spans="1:13" x14ac:dyDescent="0.45">
      <c r="A101" s="174">
        <v>12</v>
      </c>
      <c r="B101" s="220" t="s">
        <v>200</v>
      </c>
      <c r="C101" s="174" t="s">
        <v>161</v>
      </c>
      <c r="D101" s="174" t="s">
        <v>183</v>
      </c>
      <c r="E101" s="174">
        <v>0</v>
      </c>
      <c r="F101" s="210">
        <v>0</v>
      </c>
      <c r="G101" s="174">
        <v>0</v>
      </c>
      <c r="I101" s="211">
        <f>(E101*$G$5)+(F101*$G$6)+(G101*$G$7)</f>
        <v>0</v>
      </c>
      <c r="J101" s="211">
        <f t="shared" ref="J101:J106" si="33">I101</f>
        <v>0</v>
      </c>
      <c r="K101" s="211">
        <f t="shared" ref="K101:K106" si="34">I101</f>
        <v>0</v>
      </c>
      <c r="L101" s="211">
        <f t="shared" ref="L101:L106" si="35">I101</f>
        <v>0</v>
      </c>
      <c r="M101" s="211">
        <f t="shared" ref="M101:M106" si="36">I101</f>
        <v>0</v>
      </c>
    </row>
    <row r="102" spans="1:13" x14ac:dyDescent="0.45">
      <c r="A102" s="174">
        <v>12</v>
      </c>
      <c r="B102" s="220" t="s">
        <v>200</v>
      </c>
      <c r="C102" s="174" t="s">
        <v>162</v>
      </c>
      <c r="D102" s="174" t="s">
        <v>184</v>
      </c>
      <c r="E102" s="174">
        <v>2</v>
      </c>
      <c r="F102" s="210">
        <v>0</v>
      </c>
      <c r="G102" s="174">
        <v>0</v>
      </c>
      <c r="I102" s="211">
        <f>(E102*$G$5)+(F102*$G$6)+(G102*$G$7)</f>
        <v>2063.1999999999998</v>
      </c>
      <c r="J102" s="211">
        <f t="shared" si="33"/>
        <v>2063.1999999999998</v>
      </c>
      <c r="K102" s="211">
        <f t="shared" si="34"/>
        <v>2063.1999999999998</v>
      </c>
      <c r="L102" s="211">
        <f t="shared" si="35"/>
        <v>2063.1999999999998</v>
      </c>
      <c r="M102" s="211">
        <f t="shared" si="36"/>
        <v>2063.1999999999998</v>
      </c>
    </row>
    <row r="103" spans="1:13" x14ac:dyDescent="0.45">
      <c r="A103" s="174">
        <v>12</v>
      </c>
      <c r="B103" s="220" t="s">
        <v>200</v>
      </c>
      <c r="C103" s="174" t="s">
        <v>164</v>
      </c>
      <c r="E103" s="174">
        <v>0</v>
      </c>
      <c r="F103" s="210">
        <v>0</v>
      </c>
      <c r="G103" s="174">
        <v>0</v>
      </c>
      <c r="H103" s="174">
        <v>600</v>
      </c>
      <c r="I103" s="211">
        <f>H103</f>
        <v>600</v>
      </c>
      <c r="J103" s="211">
        <f t="shared" si="33"/>
        <v>600</v>
      </c>
      <c r="K103" s="211">
        <f t="shared" si="34"/>
        <v>600</v>
      </c>
      <c r="L103" s="211">
        <f t="shared" si="35"/>
        <v>600</v>
      </c>
      <c r="M103" s="211">
        <f t="shared" si="36"/>
        <v>600</v>
      </c>
    </row>
    <row r="104" spans="1:13" x14ac:dyDescent="0.45">
      <c r="A104" s="174">
        <v>12</v>
      </c>
      <c r="B104" s="220" t="s">
        <v>200</v>
      </c>
      <c r="C104" s="174" t="s">
        <v>165</v>
      </c>
      <c r="D104" s="174" t="s">
        <v>166</v>
      </c>
      <c r="E104" s="174">
        <v>2</v>
      </c>
      <c r="F104" s="210">
        <v>0</v>
      </c>
      <c r="G104" s="174">
        <v>0</v>
      </c>
      <c r="I104" s="211">
        <f>(E104*$G$5)+(F104*$G$6)+(G104*$G$7)</f>
        <v>2063.1999999999998</v>
      </c>
      <c r="J104" s="211">
        <f t="shared" si="33"/>
        <v>2063.1999999999998</v>
      </c>
      <c r="K104" s="211">
        <f t="shared" si="34"/>
        <v>2063.1999999999998</v>
      </c>
      <c r="L104" s="211">
        <f t="shared" si="35"/>
        <v>2063.1999999999998</v>
      </c>
      <c r="M104" s="211">
        <f t="shared" si="36"/>
        <v>2063.1999999999998</v>
      </c>
    </row>
    <row r="105" spans="1:13" x14ac:dyDescent="0.45">
      <c r="A105" s="174">
        <v>12</v>
      </c>
      <c r="B105" s="220" t="s">
        <v>200</v>
      </c>
      <c r="C105" s="174" t="s">
        <v>167</v>
      </c>
      <c r="E105" s="174">
        <v>1</v>
      </c>
      <c r="F105" s="210">
        <v>0</v>
      </c>
      <c r="G105" s="174">
        <v>0</v>
      </c>
      <c r="I105" s="211">
        <f>(E105*$G$5)+(F105*$G$6)+(G105*$G$7)</f>
        <v>1031.5999999999999</v>
      </c>
      <c r="J105" s="211">
        <f t="shared" si="33"/>
        <v>1031.5999999999999</v>
      </c>
      <c r="K105" s="211">
        <f t="shared" si="34"/>
        <v>1031.5999999999999</v>
      </c>
      <c r="L105" s="211">
        <f t="shared" si="35"/>
        <v>1031.5999999999999</v>
      </c>
      <c r="M105" s="211">
        <f t="shared" si="36"/>
        <v>1031.5999999999999</v>
      </c>
    </row>
    <row r="106" spans="1:13" ht="14.65" thickBot="1" x14ac:dyDescent="0.5">
      <c r="A106" s="174">
        <v>12</v>
      </c>
      <c r="B106" s="220" t="s">
        <v>200</v>
      </c>
      <c r="C106" s="174" t="s">
        <v>169</v>
      </c>
      <c r="E106" s="174">
        <v>1</v>
      </c>
      <c r="F106" s="210">
        <v>0</v>
      </c>
      <c r="G106" s="174">
        <v>0</v>
      </c>
      <c r="I106" s="211">
        <f>(E106*$G$5)+(F106*$G$6)+(G106*$G$7)</f>
        <v>1031.5999999999999</v>
      </c>
      <c r="J106" s="211">
        <f t="shared" si="33"/>
        <v>1031.5999999999999</v>
      </c>
      <c r="K106" s="211">
        <f t="shared" si="34"/>
        <v>1031.5999999999999</v>
      </c>
      <c r="L106" s="211">
        <f t="shared" si="35"/>
        <v>1031.5999999999999</v>
      </c>
      <c r="M106" s="211">
        <f t="shared" si="36"/>
        <v>1031.5999999999999</v>
      </c>
    </row>
    <row r="107" spans="1:13" ht="14.65" thickBot="1" x14ac:dyDescent="0.5">
      <c r="A107" s="174">
        <v>12</v>
      </c>
      <c r="B107" s="220" t="s">
        <v>61</v>
      </c>
      <c r="C107" s="205" t="s">
        <v>171</v>
      </c>
      <c r="D107" s="205"/>
      <c r="E107" s="212">
        <f>SUM(E100:E106)</f>
        <v>7</v>
      </c>
      <c r="F107" s="210">
        <v>0</v>
      </c>
      <c r="G107" s="205"/>
      <c r="H107" s="205"/>
      <c r="I107" s="213">
        <f>SUM(I100:I106)</f>
        <v>8621.1999999999989</v>
      </c>
      <c r="J107" s="213">
        <f>SUM(J100:J106)</f>
        <v>6789.6</v>
      </c>
      <c r="K107" s="213">
        <f>SUM(K100:K106)</f>
        <v>6789.6</v>
      </c>
      <c r="L107" s="213">
        <f>SUM(L100:L106)</f>
        <v>6789.6</v>
      </c>
      <c r="M107" s="214">
        <f>SUM(M100:M106)</f>
        <v>6789.6</v>
      </c>
    </row>
    <row r="108" spans="1:13" x14ac:dyDescent="0.45">
      <c r="A108" s="174">
        <v>12</v>
      </c>
      <c r="B108" s="222"/>
      <c r="C108" s="216"/>
      <c r="D108" s="216"/>
      <c r="E108" s="216"/>
      <c r="F108" s="216"/>
      <c r="G108" s="216"/>
      <c r="H108" s="216"/>
      <c r="I108" s="217" t="s">
        <v>172</v>
      </c>
      <c r="J108" s="218"/>
      <c r="K108" s="218"/>
      <c r="L108" s="218"/>
      <c r="M108" s="218"/>
    </row>
    <row r="109" spans="1:13" x14ac:dyDescent="0.45">
      <c r="A109" s="174">
        <v>13</v>
      </c>
      <c r="B109" s="220" t="s">
        <v>201</v>
      </c>
      <c r="C109" s="174" t="s">
        <v>159</v>
      </c>
      <c r="D109" s="174" t="s">
        <v>160</v>
      </c>
      <c r="E109" s="174">
        <v>1</v>
      </c>
      <c r="F109" s="210">
        <v>0</v>
      </c>
      <c r="G109" s="174">
        <v>1</v>
      </c>
      <c r="I109" s="211">
        <f>(E109*$G$5)+(F109*$G$6)+(G109*$G$7)</f>
        <v>1831.6</v>
      </c>
      <c r="J109" s="211"/>
      <c r="K109" s="211"/>
      <c r="L109" s="211"/>
      <c r="M109" s="211"/>
    </row>
    <row r="110" spans="1:13" x14ac:dyDescent="0.45">
      <c r="A110" s="174">
        <v>13</v>
      </c>
      <c r="B110" s="220" t="s">
        <v>201</v>
      </c>
      <c r="C110" s="174" t="s">
        <v>161</v>
      </c>
      <c r="D110" s="174" t="s">
        <v>183</v>
      </c>
      <c r="E110" s="174">
        <v>0</v>
      </c>
      <c r="F110" s="210">
        <v>0</v>
      </c>
      <c r="G110" s="174">
        <v>0</v>
      </c>
      <c r="I110" s="211">
        <f>(E110*$G$5)+(F110*$G$6)+(G110*$G$7)</f>
        <v>0</v>
      </c>
      <c r="J110" s="211"/>
      <c r="K110" s="211"/>
      <c r="L110" s="211"/>
      <c r="M110" s="211"/>
    </row>
    <row r="111" spans="1:13" x14ac:dyDescent="0.45">
      <c r="A111" s="174">
        <v>13</v>
      </c>
      <c r="B111" s="220" t="s">
        <v>201</v>
      </c>
      <c r="C111" s="174" t="s">
        <v>162</v>
      </c>
      <c r="D111" s="174" t="s">
        <v>184</v>
      </c>
      <c r="E111" s="174">
        <v>16</v>
      </c>
      <c r="F111" s="210">
        <v>0</v>
      </c>
      <c r="G111" s="174">
        <v>0</v>
      </c>
      <c r="I111" s="211">
        <f>(E111*$G$5)+(F111*$G$6)+(G111*$G$7)</f>
        <v>16505.599999999999</v>
      </c>
      <c r="J111" s="211"/>
      <c r="K111" s="211"/>
      <c r="L111" s="211"/>
      <c r="M111" s="211"/>
    </row>
    <row r="112" spans="1:13" x14ac:dyDescent="0.45">
      <c r="A112" s="174">
        <v>13</v>
      </c>
      <c r="B112" s="220" t="s">
        <v>201</v>
      </c>
      <c r="C112" s="174" t="s">
        <v>164</v>
      </c>
      <c r="E112" s="174">
        <v>0</v>
      </c>
      <c r="F112" s="210">
        <v>0</v>
      </c>
      <c r="G112" s="174">
        <v>0</v>
      </c>
      <c r="H112" s="223">
        <v>3000</v>
      </c>
      <c r="I112" s="211">
        <f>H112</f>
        <v>3000</v>
      </c>
      <c r="J112" s="211"/>
      <c r="K112" s="211"/>
      <c r="L112" s="211"/>
      <c r="M112" s="211"/>
    </row>
    <row r="113" spans="1:13" x14ac:dyDescent="0.45">
      <c r="A113" s="174">
        <v>13</v>
      </c>
      <c r="B113" s="220" t="s">
        <v>201</v>
      </c>
      <c r="C113" s="174" t="s">
        <v>165</v>
      </c>
      <c r="D113" s="174" t="s">
        <v>166</v>
      </c>
      <c r="E113" s="174">
        <v>12</v>
      </c>
      <c r="F113" s="210">
        <v>0</v>
      </c>
      <c r="G113" s="174">
        <v>0</v>
      </c>
      <c r="I113" s="211">
        <f>(E113*$G$5)+(F113*$G$6)+(G113*$G$7)</f>
        <v>12379.199999999999</v>
      </c>
      <c r="J113" s="211"/>
      <c r="K113" s="211"/>
      <c r="L113" s="211"/>
      <c r="M113" s="211"/>
    </row>
    <row r="114" spans="1:13" x14ac:dyDescent="0.45">
      <c r="A114" s="174">
        <v>13</v>
      </c>
      <c r="B114" s="220" t="s">
        <v>201</v>
      </c>
      <c r="C114" s="174" t="s">
        <v>167</v>
      </c>
      <c r="E114" s="174">
        <v>12</v>
      </c>
      <c r="F114" s="210">
        <v>0</v>
      </c>
      <c r="G114" s="174">
        <v>0</v>
      </c>
      <c r="I114" s="211">
        <f>(E114*$G$5)+(F114*$G$6)+(G114*$G$7)</f>
        <v>12379.199999999999</v>
      </c>
      <c r="J114" s="211"/>
      <c r="K114" s="211"/>
      <c r="L114" s="211"/>
      <c r="M114" s="211"/>
    </row>
    <row r="115" spans="1:13" ht="14.65" thickBot="1" x14ac:dyDescent="0.5">
      <c r="A115" s="174">
        <v>13</v>
      </c>
      <c r="B115" s="220" t="s">
        <v>201</v>
      </c>
      <c r="C115" s="174" t="s">
        <v>169</v>
      </c>
      <c r="E115" s="174">
        <v>12</v>
      </c>
      <c r="F115" s="210">
        <v>0</v>
      </c>
      <c r="G115" s="174">
        <v>0</v>
      </c>
      <c r="I115" s="211">
        <f>(E115*$G$5)+(F115*$G$6)+(G115*$G$7)</f>
        <v>12379.199999999999</v>
      </c>
      <c r="J115" s="211"/>
      <c r="K115" s="211"/>
      <c r="L115" s="211"/>
      <c r="M115" s="211"/>
    </row>
    <row r="116" spans="1:13" ht="14.65" thickBot="1" x14ac:dyDescent="0.5">
      <c r="A116" s="174">
        <v>13</v>
      </c>
      <c r="B116" s="220" t="s">
        <v>64</v>
      </c>
      <c r="C116" s="205" t="s">
        <v>171</v>
      </c>
      <c r="D116" s="205"/>
      <c r="E116" s="212">
        <f>SUM(E109:E115)</f>
        <v>53</v>
      </c>
      <c r="F116" s="210">
        <v>0</v>
      </c>
      <c r="G116" s="205"/>
      <c r="H116" s="205"/>
      <c r="I116" s="213">
        <f>SUM(I109:I115)</f>
        <v>58474.799999999988</v>
      </c>
      <c r="J116" s="213">
        <f>SUM(J109:J115)</f>
        <v>0</v>
      </c>
      <c r="K116" s="213">
        <f>SUM(K109:K115)</f>
        <v>0</v>
      </c>
      <c r="L116" s="213">
        <f>SUM(L109:L115)</f>
        <v>0</v>
      </c>
      <c r="M116" s="214">
        <f>SUM(M109:M115)</f>
        <v>0</v>
      </c>
    </row>
    <row r="117" spans="1:13" x14ac:dyDescent="0.45">
      <c r="A117" s="174">
        <v>13</v>
      </c>
      <c r="B117" s="222"/>
      <c r="C117" s="225"/>
      <c r="D117" s="225"/>
      <c r="E117" s="226"/>
      <c r="F117" s="227"/>
      <c r="G117" s="225"/>
      <c r="H117" s="225"/>
      <c r="I117" s="228"/>
      <c r="J117" s="228"/>
      <c r="K117" s="228"/>
      <c r="L117" s="228"/>
      <c r="M117" s="228"/>
    </row>
    <row r="118" spans="1:13" x14ac:dyDescent="0.45">
      <c r="A118" s="174">
        <v>2</v>
      </c>
      <c r="B118" s="220" t="s">
        <v>202</v>
      </c>
      <c r="C118" s="174" t="s">
        <v>159</v>
      </c>
      <c r="D118" s="174" t="s">
        <v>160</v>
      </c>
      <c r="E118" s="174">
        <v>1</v>
      </c>
      <c r="F118" s="210">
        <v>0</v>
      </c>
      <c r="G118" s="174">
        <v>1</v>
      </c>
      <c r="I118" s="211">
        <f>(E118*$G$5)+(F118*$G$6)+(G118*$G$7)</f>
        <v>1831.6</v>
      </c>
      <c r="J118" s="211"/>
      <c r="K118" s="211"/>
      <c r="L118" s="211"/>
      <c r="M118" s="211"/>
    </row>
    <row r="119" spans="1:13" x14ac:dyDescent="0.45">
      <c r="A119" s="174">
        <v>2</v>
      </c>
      <c r="B119" s="220" t="s">
        <v>202</v>
      </c>
      <c r="C119" s="174" t="s">
        <v>161</v>
      </c>
      <c r="F119" s="210">
        <v>0</v>
      </c>
      <c r="G119" s="174">
        <v>0</v>
      </c>
      <c r="I119" s="211">
        <f>(E119*$G$5)+(F119*$G$6)+(G119*$G$7)</f>
        <v>0</v>
      </c>
      <c r="J119" s="211">
        <f t="shared" ref="J119:J124" si="37">I119</f>
        <v>0</v>
      </c>
      <c r="K119" s="211">
        <f t="shared" ref="K119:K124" si="38">I119</f>
        <v>0</v>
      </c>
      <c r="L119" s="211">
        <f t="shared" ref="L119:L124" si="39">I119</f>
        <v>0</v>
      </c>
      <c r="M119" s="211">
        <f t="shared" ref="M119:M124" si="40">I119</f>
        <v>0</v>
      </c>
    </row>
    <row r="120" spans="1:13" x14ac:dyDescent="0.45">
      <c r="A120" s="174">
        <v>2</v>
      </c>
      <c r="B120" s="220" t="s">
        <v>202</v>
      </c>
      <c r="C120" s="174" t="s">
        <v>162</v>
      </c>
      <c r="D120" s="224" t="s">
        <v>203</v>
      </c>
      <c r="E120" s="174">
        <v>2</v>
      </c>
      <c r="F120" s="210">
        <v>0</v>
      </c>
      <c r="G120" s="174">
        <v>0</v>
      </c>
      <c r="I120" s="211">
        <f>(E120*$G$5)+(F120*$G$6)+(G120*$G$7)</f>
        <v>2063.1999999999998</v>
      </c>
      <c r="J120" s="211">
        <f t="shared" si="37"/>
        <v>2063.1999999999998</v>
      </c>
      <c r="K120" s="211">
        <f t="shared" si="38"/>
        <v>2063.1999999999998</v>
      </c>
      <c r="L120" s="211">
        <f t="shared" si="39"/>
        <v>2063.1999999999998</v>
      </c>
      <c r="M120" s="211">
        <f t="shared" si="40"/>
        <v>2063.1999999999998</v>
      </c>
    </row>
    <row r="121" spans="1:13" x14ac:dyDescent="0.45">
      <c r="A121" s="174">
        <v>2</v>
      </c>
      <c r="B121" s="220" t="s">
        <v>202</v>
      </c>
      <c r="C121" s="174" t="s">
        <v>164</v>
      </c>
      <c r="E121" s="174">
        <v>0</v>
      </c>
      <c r="F121" s="210">
        <v>0</v>
      </c>
      <c r="G121" s="174">
        <v>0</v>
      </c>
      <c r="H121" s="174">
        <v>600</v>
      </c>
      <c r="I121" s="211">
        <f>H121</f>
        <v>600</v>
      </c>
      <c r="J121" s="211">
        <f t="shared" si="37"/>
        <v>600</v>
      </c>
      <c r="K121" s="211">
        <f t="shared" si="38"/>
        <v>600</v>
      </c>
      <c r="L121" s="211">
        <f t="shared" si="39"/>
        <v>600</v>
      </c>
      <c r="M121" s="211">
        <f t="shared" si="40"/>
        <v>600</v>
      </c>
    </row>
    <row r="122" spans="1:13" x14ac:dyDescent="0.45">
      <c r="A122" s="174">
        <v>2</v>
      </c>
      <c r="B122" s="220" t="s">
        <v>202</v>
      </c>
      <c r="C122" s="174" t="s">
        <v>165</v>
      </c>
      <c r="D122" s="174" t="s">
        <v>204</v>
      </c>
      <c r="E122" s="174">
        <v>1</v>
      </c>
      <c r="F122" s="210">
        <v>0</v>
      </c>
      <c r="G122" s="174">
        <v>0</v>
      </c>
      <c r="I122" s="211">
        <f>(E122*$G$5)+(F122*$G$6)+(G122*$G$7)</f>
        <v>1031.5999999999999</v>
      </c>
      <c r="J122" s="211">
        <f t="shared" si="37"/>
        <v>1031.5999999999999</v>
      </c>
      <c r="K122" s="211">
        <f t="shared" si="38"/>
        <v>1031.5999999999999</v>
      </c>
      <c r="L122" s="211">
        <f t="shared" si="39"/>
        <v>1031.5999999999999</v>
      </c>
      <c r="M122" s="211">
        <f t="shared" si="40"/>
        <v>1031.5999999999999</v>
      </c>
    </row>
    <row r="123" spans="1:13" x14ac:dyDescent="0.45">
      <c r="A123" s="174">
        <v>2</v>
      </c>
      <c r="B123" s="220" t="s">
        <v>202</v>
      </c>
      <c r="C123" s="174" t="s">
        <v>167</v>
      </c>
      <c r="D123" s="174" t="s">
        <v>160</v>
      </c>
      <c r="E123" s="174">
        <v>0.5</v>
      </c>
      <c r="F123" s="210">
        <v>0</v>
      </c>
      <c r="G123" s="174">
        <v>0</v>
      </c>
      <c r="I123" s="211">
        <f>(E123*$G$5)+(F123*$G$6)+(G123*$G$7)</f>
        <v>515.79999999999995</v>
      </c>
      <c r="J123" s="211">
        <f t="shared" si="37"/>
        <v>515.79999999999995</v>
      </c>
      <c r="K123" s="211">
        <f t="shared" si="38"/>
        <v>515.79999999999995</v>
      </c>
      <c r="L123" s="211">
        <f t="shared" si="39"/>
        <v>515.79999999999995</v>
      </c>
      <c r="M123" s="211">
        <f t="shared" si="40"/>
        <v>515.79999999999995</v>
      </c>
    </row>
    <row r="124" spans="1:13" ht="14.65" thickBot="1" x14ac:dyDescent="0.5">
      <c r="A124" s="174">
        <v>2</v>
      </c>
      <c r="B124" s="220" t="s">
        <v>202</v>
      </c>
      <c r="C124" s="174" t="s">
        <v>169</v>
      </c>
      <c r="D124" s="174" t="s">
        <v>190</v>
      </c>
      <c r="E124" s="174">
        <v>1</v>
      </c>
      <c r="F124" s="210">
        <v>0</v>
      </c>
      <c r="G124" s="174">
        <v>0</v>
      </c>
      <c r="I124" s="211">
        <f>(E124*$G$5)+(F124*$G$6)+(G124*$G$7)</f>
        <v>1031.5999999999999</v>
      </c>
      <c r="J124" s="211">
        <f t="shared" si="37"/>
        <v>1031.5999999999999</v>
      </c>
      <c r="K124" s="211">
        <f t="shared" si="38"/>
        <v>1031.5999999999999</v>
      </c>
      <c r="L124" s="211">
        <f t="shared" si="39"/>
        <v>1031.5999999999999</v>
      </c>
      <c r="M124" s="211">
        <f t="shared" si="40"/>
        <v>1031.5999999999999</v>
      </c>
    </row>
    <row r="125" spans="1:13" ht="14.65" thickBot="1" x14ac:dyDescent="0.5">
      <c r="A125" s="174">
        <v>2</v>
      </c>
      <c r="B125" s="220" t="s">
        <v>50</v>
      </c>
      <c r="C125" s="205" t="s">
        <v>171</v>
      </c>
      <c r="D125" s="205"/>
      <c r="E125" s="212">
        <f>SUM(E118:E124)</f>
        <v>5.5</v>
      </c>
      <c r="F125" s="210">
        <v>0</v>
      </c>
      <c r="G125" s="205"/>
      <c r="H125" s="205"/>
      <c r="I125" s="213">
        <f>SUM(I118:I124)</f>
        <v>7073.7999999999993</v>
      </c>
      <c r="J125" s="213">
        <f>SUM(J118:J124)</f>
        <v>5242.1999999999989</v>
      </c>
      <c r="K125" s="213">
        <f>SUM(K118:K124)</f>
        <v>5242.1999999999989</v>
      </c>
      <c r="L125" s="213">
        <f>SUM(L118:L124)</f>
        <v>5242.1999999999989</v>
      </c>
      <c r="M125" s="214">
        <f>SUM(M118:M124)</f>
        <v>5242.1999999999989</v>
      </c>
    </row>
    <row r="126" spans="1:13" x14ac:dyDescent="0.45">
      <c r="A126" s="174">
        <v>2</v>
      </c>
      <c r="B126" s="222"/>
      <c r="C126" s="216"/>
      <c r="D126" s="216"/>
      <c r="E126" s="216"/>
      <c r="F126" s="216"/>
      <c r="G126" s="216"/>
      <c r="H126" s="216"/>
      <c r="I126" s="217" t="s">
        <v>172</v>
      </c>
      <c r="J126" s="218"/>
      <c r="K126" s="218"/>
      <c r="L126" s="218"/>
      <c r="M126" s="218"/>
    </row>
    <row r="127" spans="1:13" x14ac:dyDescent="0.45">
      <c r="A127" s="174">
        <v>1</v>
      </c>
      <c r="B127" s="167" t="s">
        <v>49</v>
      </c>
      <c r="C127" s="174" t="s">
        <v>159</v>
      </c>
      <c r="D127" s="209" t="s">
        <v>160</v>
      </c>
      <c r="E127" s="210">
        <v>2</v>
      </c>
      <c r="F127" s="210">
        <v>0</v>
      </c>
      <c r="G127" s="210">
        <v>0</v>
      </c>
      <c r="I127" s="211">
        <f>(E127*$G$5)+(F127*$G$6)+(G127*$G$7)</f>
        <v>2063.1999999999998</v>
      </c>
      <c r="J127" s="211"/>
      <c r="K127" s="211"/>
      <c r="L127" s="211"/>
      <c r="M127" s="211"/>
    </row>
    <row r="128" spans="1:13" x14ac:dyDescent="0.45">
      <c r="A128" s="174">
        <v>1</v>
      </c>
      <c r="B128" s="167" t="s">
        <v>49</v>
      </c>
      <c r="C128" s="174" t="s">
        <v>161</v>
      </c>
      <c r="E128" s="210"/>
      <c r="F128" s="210">
        <v>0</v>
      </c>
      <c r="G128" s="210">
        <v>0</v>
      </c>
      <c r="I128" s="211"/>
      <c r="J128" s="211"/>
      <c r="K128" s="211"/>
      <c r="L128" s="211"/>
      <c r="M128" s="211"/>
    </row>
    <row r="129" spans="1:13" x14ac:dyDescent="0.45">
      <c r="A129" s="174">
        <v>1</v>
      </c>
      <c r="B129" s="167" t="s">
        <v>49</v>
      </c>
      <c r="C129" s="174" t="s">
        <v>162</v>
      </c>
      <c r="D129" s="174" t="s">
        <v>163</v>
      </c>
      <c r="E129" s="210">
        <v>4</v>
      </c>
      <c r="F129" s="210">
        <v>0</v>
      </c>
      <c r="G129" s="210">
        <v>0</v>
      </c>
      <c r="I129" s="211">
        <f>(E129*$G$5)+(F129*$G$6)+(G129*$G$7)</f>
        <v>4126.3999999999996</v>
      </c>
      <c r="J129" s="211">
        <f>I129</f>
        <v>4126.3999999999996</v>
      </c>
      <c r="K129" s="211">
        <f>I129</f>
        <v>4126.3999999999996</v>
      </c>
      <c r="L129" s="211">
        <f>I129</f>
        <v>4126.3999999999996</v>
      </c>
      <c r="M129" s="211">
        <f>I129</f>
        <v>4126.3999999999996</v>
      </c>
    </row>
    <row r="130" spans="1:13" x14ac:dyDescent="0.45">
      <c r="A130" s="174">
        <v>1</v>
      </c>
      <c r="B130" s="167" t="s">
        <v>49</v>
      </c>
      <c r="C130" s="174" t="s">
        <v>164</v>
      </c>
      <c r="E130" s="210">
        <v>0</v>
      </c>
      <c r="F130" s="210">
        <v>0</v>
      </c>
      <c r="G130" s="210">
        <v>0</v>
      </c>
      <c r="H130" s="223">
        <v>10000</v>
      </c>
      <c r="I130" s="211">
        <v>0</v>
      </c>
      <c r="J130" s="211"/>
      <c r="K130" s="211"/>
      <c r="L130" s="211"/>
      <c r="M130" s="211"/>
    </row>
    <row r="131" spans="1:13" x14ac:dyDescent="0.45">
      <c r="A131" s="174">
        <v>1</v>
      </c>
      <c r="B131" s="167" t="s">
        <v>49</v>
      </c>
      <c r="C131" s="174" t="s">
        <v>165</v>
      </c>
      <c r="D131" s="174" t="s">
        <v>166</v>
      </c>
      <c r="E131" s="210">
        <v>2</v>
      </c>
      <c r="F131" s="210">
        <v>0</v>
      </c>
      <c r="G131" s="210">
        <v>0</v>
      </c>
      <c r="I131" s="211">
        <f>(E131*$G$5)+(F131*$G$6)+(G131*$G$7)</f>
        <v>2063.1999999999998</v>
      </c>
      <c r="J131" s="211">
        <f>I131</f>
        <v>2063.1999999999998</v>
      </c>
      <c r="K131" s="211">
        <f>I131</f>
        <v>2063.1999999999998</v>
      </c>
      <c r="L131" s="211">
        <f>I131</f>
        <v>2063.1999999999998</v>
      </c>
      <c r="M131" s="211">
        <f>I131</f>
        <v>2063.1999999999998</v>
      </c>
    </row>
    <row r="132" spans="1:13" x14ac:dyDescent="0.45">
      <c r="A132" s="174">
        <v>1</v>
      </c>
      <c r="B132" s="167" t="s">
        <v>49</v>
      </c>
      <c r="C132" s="174" t="s">
        <v>167</v>
      </c>
      <c r="D132" s="174" t="s">
        <v>168</v>
      </c>
      <c r="E132" s="210">
        <v>2</v>
      </c>
      <c r="F132" s="210">
        <v>0</v>
      </c>
      <c r="G132" s="210">
        <v>0</v>
      </c>
      <c r="I132" s="211">
        <f>(E132*$G$5)+(F132*$G$6)+(G132*$G$7)</f>
        <v>2063.1999999999998</v>
      </c>
      <c r="J132" s="211">
        <f>I132</f>
        <v>2063.1999999999998</v>
      </c>
      <c r="K132" s="211">
        <f>I132</f>
        <v>2063.1999999999998</v>
      </c>
      <c r="L132" s="211">
        <f>I132</f>
        <v>2063.1999999999998</v>
      </c>
      <c r="M132" s="211">
        <f>I132</f>
        <v>2063.1999999999998</v>
      </c>
    </row>
    <row r="133" spans="1:13" ht="14.65" thickBot="1" x14ac:dyDescent="0.5">
      <c r="A133" s="174">
        <v>1</v>
      </c>
      <c r="B133" s="167" t="s">
        <v>49</v>
      </c>
      <c r="C133" s="174" t="s">
        <v>169</v>
      </c>
      <c r="D133" s="174" t="s">
        <v>170</v>
      </c>
      <c r="E133" s="210">
        <v>3</v>
      </c>
      <c r="F133" s="210">
        <v>0</v>
      </c>
      <c r="G133" s="210">
        <v>0</v>
      </c>
      <c r="I133" s="211">
        <f>(E133*$G$5)+(F133*$G$6)+(G133*$G$7)</f>
        <v>3094.7999999999997</v>
      </c>
      <c r="J133" s="211">
        <f>I133</f>
        <v>3094.7999999999997</v>
      </c>
      <c r="K133" s="211">
        <f>I133</f>
        <v>3094.7999999999997</v>
      </c>
      <c r="L133" s="211">
        <f>I133</f>
        <v>3094.7999999999997</v>
      </c>
      <c r="M133" s="211">
        <f>I133</f>
        <v>3094.7999999999997</v>
      </c>
    </row>
    <row r="134" spans="1:13" ht="14.65" thickBot="1" x14ac:dyDescent="0.5">
      <c r="A134" s="174">
        <v>1</v>
      </c>
      <c r="B134" s="167" t="s">
        <v>49</v>
      </c>
      <c r="C134" s="205" t="s">
        <v>171</v>
      </c>
      <c r="D134" s="205"/>
      <c r="E134" s="212">
        <f>SUM(E127:E133)</f>
        <v>13</v>
      </c>
      <c r="F134" s="210">
        <v>0</v>
      </c>
      <c r="G134" s="205"/>
      <c r="H134" s="205"/>
      <c r="I134" s="213">
        <f>SUM(I127:I133)</f>
        <v>13410.8</v>
      </c>
      <c r="J134" s="213">
        <f>SUM(J127:J133)</f>
        <v>11347.599999999999</v>
      </c>
      <c r="K134" s="213">
        <f>SUM(K127:K133)</f>
        <v>11347.599999999999</v>
      </c>
      <c r="L134" s="213">
        <f>SUM(L127:L133)</f>
        <v>11347.599999999999</v>
      </c>
      <c r="M134" s="214">
        <f>SUM(M127:M133)</f>
        <v>11347.599999999999</v>
      </c>
    </row>
    <row r="135" spans="1:13" x14ac:dyDescent="0.45">
      <c r="A135" s="174">
        <v>1</v>
      </c>
      <c r="B135" s="222"/>
      <c r="C135" s="216"/>
      <c r="D135" s="216"/>
      <c r="E135" s="216"/>
      <c r="F135" s="216"/>
      <c r="G135" s="216"/>
      <c r="H135" s="216"/>
      <c r="I135" s="217" t="s">
        <v>172</v>
      </c>
      <c r="J135" s="218"/>
      <c r="K135" s="218"/>
      <c r="L135" s="218"/>
      <c r="M135" s="218"/>
    </row>
    <row r="136" spans="1:13" x14ac:dyDescent="0.45">
      <c r="A136" s="174">
        <v>14</v>
      </c>
      <c r="B136" s="220" t="s">
        <v>62</v>
      </c>
      <c r="C136" s="174" t="s">
        <v>159</v>
      </c>
      <c r="D136" s="209" t="s">
        <v>160</v>
      </c>
      <c r="E136" s="210">
        <v>2</v>
      </c>
      <c r="F136" s="210">
        <v>0</v>
      </c>
      <c r="G136" s="210">
        <v>0</v>
      </c>
      <c r="I136" s="211">
        <f>(E136*$G$5)+(F136*$G$6)+(G136*$G$7)</f>
        <v>2063.1999999999998</v>
      </c>
      <c r="J136" s="211"/>
      <c r="K136" s="211"/>
      <c r="L136" s="211"/>
      <c r="M136" s="211"/>
    </row>
    <row r="137" spans="1:13" x14ac:dyDescent="0.45">
      <c r="A137" s="174">
        <v>14</v>
      </c>
      <c r="B137" s="220" t="s">
        <v>62</v>
      </c>
      <c r="C137" s="174" t="s">
        <v>161</v>
      </c>
      <c r="E137" s="210">
        <v>0</v>
      </c>
      <c r="F137" s="210">
        <v>0</v>
      </c>
      <c r="G137" s="210">
        <v>0</v>
      </c>
      <c r="I137" s="211"/>
      <c r="J137" s="211"/>
      <c r="K137" s="211"/>
      <c r="L137" s="211"/>
      <c r="M137" s="211"/>
    </row>
    <row r="138" spans="1:13" x14ac:dyDescent="0.45">
      <c r="A138" s="174">
        <v>14</v>
      </c>
      <c r="B138" s="220" t="s">
        <v>62</v>
      </c>
      <c r="C138" s="174" t="s">
        <v>162</v>
      </c>
      <c r="D138" s="174" t="s">
        <v>163</v>
      </c>
      <c r="E138" s="210">
        <v>3</v>
      </c>
      <c r="F138" s="210">
        <v>0</v>
      </c>
      <c r="G138" s="210">
        <v>0</v>
      </c>
      <c r="I138" s="211">
        <f>(E138*$G$5)+(F138*$G$6)+(G138*$G$7)</f>
        <v>3094.7999999999997</v>
      </c>
      <c r="J138" s="211">
        <f>I138</f>
        <v>3094.7999999999997</v>
      </c>
      <c r="K138" s="211">
        <f>I138</f>
        <v>3094.7999999999997</v>
      </c>
      <c r="L138" s="211">
        <f>I138</f>
        <v>3094.7999999999997</v>
      </c>
      <c r="M138" s="211">
        <f>I138</f>
        <v>3094.7999999999997</v>
      </c>
    </row>
    <row r="139" spans="1:13" x14ac:dyDescent="0.45">
      <c r="A139" s="174">
        <v>14</v>
      </c>
      <c r="B139" s="220" t="s">
        <v>62</v>
      </c>
      <c r="C139" s="174" t="s">
        <v>164</v>
      </c>
      <c r="E139" s="210">
        <v>0</v>
      </c>
      <c r="F139" s="210">
        <v>0</v>
      </c>
      <c r="G139" s="210">
        <v>0</v>
      </c>
      <c r="H139" s="210">
        <v>600</v>
      </c>
      <c r="I139" s="211">
        <v>600</v>
      </c>
      <c r="J139" s="211"/>
      <c r="K139" s="211"/>
      <c r="L139" s="211"/>
      <c r="M139" s="211"/>
    </row>
    <row r="140" spans="1:13" x14ac:dyDescent="0.45">
      <c r="A140" s="174">
        <v>14</v>
      </c>
      <c r="B140" s="220" t="s">
        <v>62</v>
      </c>
      <c r="C140" s="174" t="s">
        <v>165</v>
      </c>
      <c r="D140" s="174" t="s">
        <v>166</v>
      </c>
      <c r="E140" s="210">
        <v>2</v>
      </c>
      <c r="F140" s="210">
        <v>0</v>
      </c>
      <c r="G140" s="210">
        <v>0</v>
      </c>
      <c r="I140" s="211">
        <f>(E140*$G$5)+(F140*$G$6)+(G140*$G$7)</f>
        <v>2063.1999999999998</v>
      </c>
      <c r="J140" s="211">
        <f>I140</f>
        <v>2063.1999999999998</v>
      </c>
      <c r="K140" s="211">
        <f>I140</f>
        <v>2063.1999999999998</v>
      </c>
      <c r="L140" s="211">
        <f>I140</f>
        <v>2063.1999999999998</v>
      </c>
      <c r="M140" s="211">
        <f>I140</f>
        <v>2063.1999999999998</v>
      </c>
    </row>
    <row r="141" spans="1:13" x14ac:dyDescent="0.45">
      <c r="A141" s="174">
        <v>14</v>
      </c>
      <c r="B141" s="220" t="s">
        <v>62</v>
      </c>
      <c r="C141" s="174" t="s">
        <v>167</v>
      </c>
      <c r="D141" s="174" t="s">
        <v>168</v>
      </c>
      <c r="E141" s="210">
        <v>2</v>
      </c>
      <c r="F141" s="210">
        <v>0</v>
      </c>
      <c r="G141" s="210">
        <v>0</v>
      </c>
      <c r="I141" s="211">
        <f>(E141*$G$5)+(F141*$G$6)+(G141*$G$7)</f>
        <v>2063.1999999999998</v>
      </c>
      <c r="J141" s="211">
        <f>I141</f>
        <v>2063.1999999999998</v>
      </c>
      <c r="K141" s="211">
        <f>I141</f>
        <v>2063.1999999999998</v>
      </c>
      <c r="L141" s="211">
        <f>I141</f>
        <v>2063.1999999999998</v>
      </c>
      <c r="M141" s="211">
        <f>I141</f>
        <v>2063.1999999999998</v>
      </c>
    </row>
    <row r="142" spans="1:13" ht="14.65" thickBot="1" x14ac:dyDescent="0.5">
      <c r="A142" s="174">
        <v>14</v>
      </c>
      <c r="B142" s="220" t="s">
        <v>62</v>
      </c>
      <c r="C142" s="174" t="s">
        <v>169</v>
      </c>
      <c r="D142" s="174" t="s">
        <v>170</v>
      </c>
      <c r="E142" s="210">
        <v>2</v>
      </c>
      <c r="F142" s="210">
        <v>0</v>
      </c>
      <c r="G142" s="210">
        <v>0</v>
      </c>
      <c r="I142" s="211">
        <f>(E142*$G$5)+(F142*$G$6)+(G142*$G$7)</f>
        <v>2063.1999999999998</v>
      </c>
      <c r="J142" s="211">
        <f>I142</f>
        <v>2063.1999999999998</v>
      </c>
      <c r="K142" s="211">
        <f>I142</f>
        <v>2063.1999999999998</v>
      </c>
      <c r="L142" s="211">
        <f>I142</f>
        <v>2063.1999999999998</v>
      </c>
      <c r="M142" s="211">
        <f>I142</f>
        <v>2063.1999999999998</v>
      </c>
    </row>
    <row r="143" spans="1:13" ht="14.65" thickBot="1" x14ac:dyDescent="0.5">
      <c r="A143" s="174">
        <v>14</v>
      </c>
      <c r="B143" s="220" t="s">
        <v>62</v>
      </c>
      <c r="C143" s="205" t="s">
        <v>171</v>
      </c>
      <c r="D143" s="205"/>
      <c r="E143" s="212">
        <f>SUM(E136:E142)</f>
        <v>11</v>
      </c>
      <c r="F143" s="210">
        <v>0</v>
      </c>
      <c r="G143" s="205"/>
      <c r="H143" s="205"/>
      <c r="I143" s="213">
        <f>SUM(I136:I142)</f>
        <v>11947.599999999999</v>
      </c>
      <c r="J143" s="213">
        <f>SUM(J136:J142)</f>
        <v>9284.4</v>
      </c>
      <c r="K143" s="213">
        <f>SUM(K136:K142)</f>
        <v>9284.4</v>
      </c>
      <c r="L143" s="213">
        <f>SUM(L136:L142)</f>
        <v>9284.4</v>
      </c>
      <c r="M143" s="214">
        <f>SUM(M136:M142)</f>
        <v>9284.4</v>
      </c>
    </row>
    <row r="144" spans="1:13" x14ac:dyDescent="0.45">
      <c r="A144" s="174">
        <v>14</v>
      </c>
      <c r="B144" s="222"/>
      <c r="C144" s="216"/>
      <c r="D144" s="216"/>
      <c r="E144" s="216"/>
      <c r="F144" s="216"/>
      <c r="G144" s="216"/>
      <c r="H144" s="216"/>
      <c r="I144" s="217" t="s">
        <v>172</v>
      </c>
      <c r="J144" s="218"/>
      <c r="K144" s="218"/>
      <c r="L144" s="218"/>
      <c r="M144" s="218"/>
    </row>
    <row r="145" spans="1:13" x14ac:dyDescent="0.45">
      <c r="A145" s="174">
        <v>15</v>
      </c>
      <c r="B145" s="220" t="s">
        <v>63</v>
      </c>
      <c r="C145" s="174" t="s">
        <v>159</v>
      </c>
      <c r="D145" s="209" t="s">
        <v>160</v>
      </c>
      <c r="E145" s="210">
        <v>1</v>
      </c>
      <c r="F145" s="210">
        <v>0</v>
      </c>
      <c r="G145" s="210">
        <v>0</v>
      </c>
      <c r="I145" s="211">
        <f>(E145*$G$5)+(F145*$G$6)+(G145*$G$7)</f>
        <v>1031.5999999999999</v>
      </c>
      <c r="J145" s="211"/>
      <c r="K145" s="211"/>
      <c r="L145" s="211"/>
      <c r="M145" s="211"/>
    </row>
    <row r="146" spans="1:13" x14ac:dyDescent="0.45">
      <c r="A146" s="174">
        <v>15</v>
      </c>
      <c r="B146" s="220" t="s">
        <v>63</v>
      </c>
      <c r="C146" s="174" t="s">
        <v>161</v>
      </c>
      <c r="E146" s="210">
        <v>0</v>
      </c>
      <c r="F146" s="210">
        <v>0</v>
      </c>
      <c r="G146" s="210">
        <v>0</v>
      </c>
      <c r="I146" s="211"/>
      <c r="J146" s="211"/>
      <c r="K146" s="211"/>
      <c r="L146" s="211"/>
      <c r="M146" s="211"/>
    </row>
    <row r="147" spans="1:13" x14ac:dyDescent="0.45">
      <c r="A147" s="174">
        <v>15</v>
      </c>
      <c r="B147" s="220" t="s">
        <v>63</v>
      </c>
      <c r="C147" s="174" t="s">
        <v>162</v>
      </c>
      <c r="D147" s="174" t="s">
        <v>163</v>
      </c>
      <c r="E147" s="210">
        <v>0.5</v>
      </c>
      <c r="F147" s="210">
        <v>0</v>
      </c>
      <c r="G147" s="210">
        <v>0</v>
      </c>
      <c r="I147" s="211">
        <f>(E147*$G$5)+(F147*$G$6)+(G147*$G$7)</f>
        <v>515.79999999999995</v>
      </c>
      <c r="J147" s="211">
        <f>I147</f>
        <v>515.79999999999995</v>
      </c>
      <c r="K147" s="211">
        <f>I147</f>
        <v>515.79999999999995</v>
      </c>
      <c r="L147" s="211">
        <f>I147</f>
        <v>515.79999999999995</v>
      </c>
      <c r="M147" s="211">
        <f>I147</f>
        <v>515.79999999999995</v>
      </c>
    </row>
    <row r="148" spans="1:13" x14ac:dyDescent="0.45">
      <c r="A148" s="174">
        <v>15</v>
      </c>
      <c r="B148" s="220" t="s">
        <v>63</v>
      </c>
      <c r="C148" s="174" t="s">
        <v>164</v>
      </c>
      <c r="E148" s="210">
        <v>0</v>
      </c>
      <c r="F148" s="210">
        <v>0</v>
      </c>
      <c r="G148" s="210">
        <v>0</v>
      </c>
      <c r="H148" s="210">
        <v>600</v>
      </c>
      <c r="I148" s="211">
        <v>600</v>
      </c>
      <c r="J148" s="211"/>
      <c r="K148" s="211"/>
      <c r="L148" s="211"/>
      <c r="M148" s="211"/>
    </row>
    <row r="149" spans="1:13" x14ac:dyDescent="0.45">
      <c r="A149" s="174">
        <v>15</v>
      </c>
      <c r="B149" s="220" t="s">
        <v>63</v>
      </c>
      <c r="C149" s="174" t="s">
        <v>165</v>
      </c>
      <c r="D149" s="174" t="s">
        <v>166</v>
      </c>
      <c r="E149" s="210">
        <v>0.1</v>
      </c>
      <c r="F149" s="210">
        <v>0</v>
      </c>
      <c r="G149" s="210">
        <v>0</v>
      </c>
      <c r="I149" s="211">
        <f>(E149*$G$5)+(F149*$G$6)+(G149*$G$7)</f>
        <v>103.16</v>
      </c>
      <c r="J149" s="211">
        <f>I149</f>
        <v>103.16</v>
      </c>
      <c r="K149" s="211">
        <f>I149</f>
        <v>103.16</v>
      </c>
      <c r="L149" s="211">
        <f>I149</f>
        <v>103.16</v>
      </c>
      <c r="M149" s="211">
        <f>I149</f>
        <v>103.16</v>
      </c>
    </row>
    <row r="150" spans="1:13" x14ac:dyDescent="0.45">
      <c r="A150" s="174">
        <v>15</v>
      </c>
      <c r="B150" s="220" t="s">
        <v>63</v>
      </c>
      <c r="C150" s="174" t="s">
        <v>167</v>
      </c>
      <c r="D150" s="174" t="s">
        <v>168</v>
      </c>
      <c r="E150" s="210">
        <v>0.5</v>
      </c>
      <c r="F150" s="210">
        <v>0</v>
      </c>
      <c r="G150" s="210">
        <v>0</v>
      </c>
      <c r="I150" s="211">
        <f>(E150*$G$5)+(F150*$G$6)+(G150*$G$7)</f>
        <v>515.79999999999995</v>
      </c>
      <c r="J150" s="211">
        <f>I150</f>
        <v>515.79999999999995</v>
      </c>
      <c r="K150" s="211">
        <f>I150</f>
        <v>515.79999999999995</v>
      </c>
      <c r="L150" s="211">
        <f>I150</f>
        <v>515.79999999999995</v>
      </c>
      <c r="M150" s="211">
        <f>I150</f>
        <v>515.79999999999995</v>
      </c>
    </row>
    <row r="151" spans="1:13" ht="14.65" thickBot="1" x14ac:dyDescent="0.5">
      <c r="A151" s="174">
        <v>15</v>
      </c>
      <c r="B151" s="220" t="s">
        <v>63</v>
      </c>
      <c r="C151" s="174" t="s">
        <v>169</v>
      </c>
      <c r="D151" s="174" t="s">
        <v>170</v>
      </c>
      <c r="E151" s="210">
        <v>0.8</v>
      </c>
      <c r="F151" s="210">
        <v>0</v>
      </c>
      <c r="G151" s="210">
        <v>0</v>
      </c>
      <c r="I151" s="211">
        <f>(E151*$G$5)+(F151*$G$6)+(G151*$G$7)</f>
        <v>825.28</v>
      </c>
      <c r="J151" s="211">
        <f>I151</f>
        <v>825.28</v>
      </c>
      <c r="K151" s="211">
        <f>I151</f>
        <v>825.28</v>
      </c>
      <c r="L151" s="211">
        <f>I151</f>
        <v>825.28</v>
      </c>
      <c r="M151" s="211">
        <f>I151</f>
        <v>825.28</v>
      </c>
    </row>
    <row r="152" spans="1:13" ht="14.65" thickBot="1" x14ac:dyDescent="0.5">
      <c r="A152" s="174">
        <v>15</v>
      </c>
      <c r="B152" s="220" t="s">
        <v>63</v>
      </c>
      <c r="C152" s="205" t="s">
        <v>171</v>
      </c>
      <c r="D152" s="205"/>
      <c r="E152" s="212">
        <f>SUM(E145:E151)</f>
        <v>2.9000000000000004</v>
      </c>
      <c r="F152" s="210">
        <v>0</v>
      </c>
      <c r="G152" s="205"/>
      <c r="H152" s="205"/>
      <c r="I152" s="213">
        <f>SUM(I145:I151)</f>
        <v>3591.6399999999994</v>
      </c>
      <c r="J152" s="213">
        <f>SUM(J145:J151)</f>
        <v>1960.0399999999997</v>
      </c>
      <c r="K152" s="213">
        <f>SUM(K145:K151)</f>
        <v>1960.0399999999997</v>
      </c>
      <c r="L152" s="213">
        <f>SUM(L145:L151)</f>
        <v>1960.0399999999997</v>
      </c>
      <c r="M152" s="214">
        <f>SUM(M145:M151)</f>
        <v>1960.0399999999997</v>
      </c>
    </row>
    <row r="153" spans="1:13" x14ac:dyDescent="0.45">
      <c r="A153" s="174">
        <v>15</v>
      </c>
      <c r="B153" s="222"/>
      <c r="C153" s="216"/>
      <c r="D153" s="216"/>
      <c r="E153" s="216"/>
      <c r="F153" s="216"/>
      <c r="G153" s="216"/>
      <c r="H153" s="216"/>
      <c r="I153" s="217" t="s">
        <v>172</v>
      </c>
      <c r="J153" s="218"/>
      <c r="K153" s="218"/>
      <c r="L153" s="218"/>
      <c r="M153" s="218"/>
    </row>
    <row r="154" spans="1:13" x14ac:dyDescent="0.45">
      <c r="A154" s="174">
        <v>17</v>
      </c>
      <c r="B154" s="220" t="s">
        <v>65</v>
      </c>
      <c r="C154" s="174" t="s">
        <v>159</v>
      </c>
      <c r="D154" s="209" t="s">
        <v>160</v>
      </c>
      <c r="E154" s="210">
        <v>20</v>
      </c>
      <c r="F154" s="210">
        <v>0</v>
      </c>
      <c r="G154" s="210">
        <v>0</v>
      </c>
      <c r="I154" s="211">
        <f>(E154*$G$5)+(F154*$G$6)+(G154*$G$7)</f>
        <v>20632</v>
      </c>
      <c r="J154" s="211"/>
      <c r="K154" s="211"/>
      <c r="L154" s="211"/>
      <c r="M154" s="211"/>
    </row>
    <row r="155" spans="1:13" x14ac:dyDescent="0.45">
      <c r="A155" s="174">
        <v>17</v>
      </c>
      <c r="B155" s="220" t="s">
        <v>65</v>
      </c>
      <c r="C155" s="174" t="s">
        <v>161</v>
      </c>
      <c r="E155" s="210">
        <v>0</v>
      </c>
      <c r="F155" s="210">
        <v>0</v>
      </c>
      <c r="G155" s="210">
        <v>0</v>
      </c>
      <c r="I155" s="211"/>
      <c r="J155" s="211"/>
      <c r="K155" s="211"/>
      <c r="L155" s="211"/>
      <c r="M155" s="211"/>
    </row>
    <row r="156" spans="1:13" x14ac:dyDescent="0.45">
      <c r="A156" s="174">
        <v>17</v>
      </c>
      <c r="B156" s="220" t="s">
        <v>65</v>
      </c>
      <c r="C156" s="174" t="s">
        <v>162</v>
      </c>
      <c r="D156" s="174" t="s">
        <v>163</v>
      </c>
      <c r="E156" s="210">
        <v>12</v>
      </c>
      <c r="F156" s="210">
        <v>0</v>
      </c>
      <c r="G156" s="210">
        <v>0</v>
      </c>
      <c r="I156" s="211">
        <f>(E156*$G$5)+(F156*$G$6)+(G156*$G$7)</f>
        <v>12379.199999999999</v>
      </c>
      <c r="J156" s="211">
        <f>I156</f>
        <v>12379.199999999999</v>
      </c>
      <c r="K156" s="211">
        <f>I156</f>
        <v>12379.199999999999</v>
      </c>
      <c r="L156" s="211">
        <f>I156</f>
        <v>12379.199999999999</v>
      </c>
      <c r="M156" s="211">
        <f>I156</f>
        <v>12379.199999999999</v>
      </c>
    </row>
    <row r="157" spans="1:13" x14ac:dyDescent="0.45">
      <c r="A157" s="174">
        <v>17</v>
      </c>
      <c r="B157" s="220" t="s">
        <v>65</v>
      </c>
      <c r="C157" s="174" t="s">
        <v>164</v>
      </c>
      <c r="E157" s="210">
        <v>0</v>
      </c>
      <c r="F157" s="210">
        <v>0</v>
      </c>
      <c r="G157" s="210">
        <v>0</v>
      </c>
      <c r="H157" s="223"/>
      <c r="I157" s="211">
        <v>20000</v>
      </c>
      <c r="J157" s="211"/>
      <c r="K157" s="211"/>
      <c r="L157" s="211"/>
      <c r="M157" s="211"/>
    </row>
    <row r="158" spans="1:13" x14ac:dyDescent="0.45">
      <c r="A158" s="174">
        <v>17</v>
      </c>
      <c r="B158" s="220" t="s">
        <v>65</v>
      </c>
      <c r="C158" s="174" t="s">
        <v>165</v>
      </c>
      <c r="D158" s="174" t="s">
        <v>166</v>
      </c>
      <c r="E158" s="210">
        <v>4</v>
      </c>
      <c r="F158" s="210">
        <v>0</v>
      </c>
      <c r="G158" s="210">
        <v>0</v>
      </c>
      <c r="I158" s="211">
        <f>(E158*$G$5)+(F158*$G$6)+(G158*$G$7)</f>
        <v>4126.3999999999996</v>
      </c>
      <c r="J158" s="211">
        <f>I158</f>
        <v>4126.3999999999996</v>
      </c>
      <c r="K158" s="211">
        <f>I158</f>
        <v>4126.3999999999996</v>
      </c>
      <c r="L158" s="211">
        <f>I158</f>
        <v>4126.3999999999996</v>
      </c>
      <c r="M158" s="211">
        <f>I158</f>
        <v>4126.3999999999996</v>
      </c>
    </row>
    <row r="159" spans="1:13" x14ac:dyDescent="0.45">
      <c r="A159" s="174">
        <v>17</v>
      </c>
      <c r="B159" s="220" t="s">
        <v>65</v>
      </c>
      <c r="C159" s="174" t="s">
        <v>167</v>
      </c>
      <c r="D159" s="174" t="s">
        <v>168</v>
      </c>
      <c r="E159" s="210">
        <v>4</v>
      </c>
      <c r="F159" s="210">
        <v>0</v>
      </c>
      <c r="G159" s="210">
        <v>0</v>
      </c>
      <c r="I159" s="211">
        <f>(E159*$G$5)+(F159*$G$6)+(G159*$G$7)</f>
        <v>4126.3999999999996</v>
      </c>
      <c r="J159" s="211">
        <f>I159</f>
        <v>4126.3999999999996</v>
      </c>
      <c r="K159" s="211">
        <f>I159</f>
        <v>4126.3999999999996</v>
      </c>
      <c r="L159" s="211">
        <f>I159</f>
        <v>4126.3999999999996</v>
      </c>
      <c r="M159" s="211">
        <f>I159</f>
        <v>4126.3999999999996</v>
      </c>
    </row>
    <row r="160" spans="1:13" ht="14.65" thickBot="1" x14ac:dyDescent="0.5">
      <c r="A160" s="174">
        <v>17</v>
      </c>
      <c r="B160" s="220" t="s">
        <v>65</v>
      </c>
      <c r="C160" s="174" t="s">
        <v>169</v>
      </c>
      <c r="D160" s="174" t="s">
        <v>170</v>
      </c>
      <c r="E160" s="210">
        <v>8</v>
      </c>
      <c r="F160" s="210">
        <v>0</v>
      </c>
      <c r="G160" s="210">
        <v>0</v>
      </c>
      <c r="I160" s="211">
        <f>(E160*$G$5)+(F160*$G$6)+(G160*$G$7)</f>
        <v>8252.7999999999993</v>
      </c>
      <c r="J160" s="211">
        <f>I160</f>
        <v>8252.7999999999993</v>
      </c>
      <c r="K160" s="211">
        <f>I160</f>
        <v>8252.7999999999993</v>
      </c>
      <c r="L160" s="211">
        <f>I160</f>
        <v>8252.7999999999993</v>
      </c>
      <c r="M160" s="211">
        <f>I160</f>
        <v>8252.7999999999993</v>
      </c>
    </row>
    <row r="161" spans="1:13" ht="14.65" thickBot="1" x14ac:dyDescent="0.5">
      <c r="A161" s="174">
        <v>17</v>
      </c>
      <c r="B161" s="220" t="s">
        <v>65</v>
      </c>
      <c r="C161" s="205" t="s">
        <v>171</v>
      </c>
      <c r="D161" s="205"/>
      <c r="E161" s="212">
        <f>SUM(E154:E160)</f>
        <v>48</v>
      </c>
      <c r="F161" s="210">
        <v>0</v>
      </c>
      <c r="G161" s="205"/>
      <c r="H161" s="205"/>
      <c r="I161" s="213">
        <f>SUM(I154:I160)</f>
        <v>69516.800000000003</v>
      </c>
      <c r="J161" s="213">
        <f>SUM(J154:J160)</f>
        <v>28884.799999999999</v>
      </c>
      <c r="K161" s="213">
        <f>SUM(K154:K160)</f>
        <v>28884.799999999999</v>
      </c>
      <c r="L161" s="213">
        <f>SUM(L154:L160)</f>
        <v>28884.799999999999</v>
      </c>
      <c r="M161" s="214">
        <f>SUM(M154:M160)</f>
        <v>28884.799999999999</v>
      </c>
    </row>
    <row r="162" spans="1:13" x14ac:dyDescent="0.45">
      <c r="A162" s="174">
        <v>17</v>
      </c>
      <c r="B162" s="222"/>
      <c r="C162" s="216"/>
      <c r="D162" s="216"/>
      <c r="E162" s="216"/>
      <c r="F162" s="216"/>
      <c r="G162" s="216"/>
      <c r="H162" s="216"/>
      <c r="I162" s="217" t="s">
        <v>172</v>
      </c>
      <c r="J162" s="218"/>
      <c r="K162" s="218"/>
      <c r="L162" s="218"/>
      <c r="M162" s="218"/>
    </row>
    <row r="163" spans="1:13" x14ac:dyDescent="0.45">
      <c r="A163" s="174">
        <v>18</v>
      </c>
      <c r="B163" s="220" t="s">
        <v>205</v>
      </c>
      <c r="C163" s="174" t="s">
        <v>159</v>
      </c>
      <c r="D163" s="209" t="s">
        <v>160</v>
      </c>
      <c r="E163" s="210">
        <v>0.25</v>
      </c>
      <c r="F163" s="210">
        <v>0</v>
      </c>
      <c r="G163" s="210">
        <v>0</v>
      </c>
      <c r="I163" s="211">
        <f>(E163*$G$5)+(F163*$G$6)+(G163*$G$7)</f>
        <v>257.89999999999998</v>
      </c>
      <c r="J163" s="211"/>
      <c r="K163" s="211"/>
      <c r="L163" s="211"/>
      <c r="M163" s="211"/>
    </row>
    <row r="164" spans="1:13" x14ac:dyDescent="0.45">
      <c r="A164" s="174">
        <v>18</v>
      </c>
      <c r="B164" s="220" t="s">
        <v>205</v>
      </c>
      <c r="C164" s="174" t="s">
        <v>161</v>
      </c>
      <c r="E164" s="210">
        <v>0</v>
      </c>
      <c r="F164" s="210">
        <v>0</v>
      </c>
      <c r="G164" s="210">
        <v>0</v>
      </c>
      <c r="I164" s="211"/>
      <c r="J164" s="211"/>
      <c r="K164" s="211"/>
      <c r="L164" s="211"/>
      <c r="M164" s="211"/>
    </row>
    <row r="165" spans="1:13" x14ac:dyDescent="0.45">
      <c r="A165" s="174">
        <v>18</v>
      </c>
      <c r="B165" s="220" t="s">
        <v>205</v>
      </c>
      <c r="C165" s="174" t="s">
        <v>162</v>
      </c>
      <c r="D165" s="174" t="s">
        <v>163</v>
      </c>
      <c r="E165" s="210">
        <v>0.25</v>
      </c>
      <c r="F165" s="210">
        <v>0</v>
      </c>
      <c r="G165" s="210">
        <v>0</v>
      </c>
      <c r="I165" s="211">
        <f>(E165*$G$5)+(F165*$G$6)+(G165*$G$7)</f>
        <v>257.89999999999998</v>
      </c>
      <c r="J165" s="211">
        <f>I165</f>
        <v>257.89999999999998</v>
      </c>
      <c r="K165" s="211">
        <f>I165</f>
        <v>257.89999999999998</v>
      </c>
      <c r="L165" s="211">
        <f>I165</f>
        <v>257.89999999999998</v>
      </c>
      <c r="M165" s="211">
        <f>I165</f>
        <v>257.89999999999998</v>
      </c>
    </row>
    <row r="166" spans="1:13" x14ac:dyDescent="0.45">
      <c r="A166" s="174">
        <v>18</v>
      </c>
      <c r="B166" s="220" t="s">
        <v>205</v>
      </c>
      <c r="C166" s="174" t="s">
        <v>164</v>
      </c>
      <c r="E166" s="210">
        <v>0</v>
      </c>
      <c r="F166" s="210">
        <v>0</v>
      </c>
      <c r="G166" s="210">
        <v>0</v>
      </c>
      <c r="I166" s="211">
        <v>0</v>
      </c>
      <c r="J166" s="211"/>
      <c r="K166" s="211"/>
      <c r="L166" s="211"/>
      <c r="M166" s="211"/>
    </row>
    <row r="167" spans="1:13" x14ac:dyDescent="0.45">
      <c r="A167" s="174">
        <v>18</v>
      </c>
      <c r="B167" s="220" t="s">
        <v>205</v>
      </c>
      <c r="C167" s="174" t="s">
        <v>165</v>
      </c>
      <c r="D167" s="174" t="s">
        <v>166</v>
      </c>
      <c r="E167" s="210">
        <v>0.3</v>
      </c>
      <c r="F167" s="210">
        <v>0</v>
      </c>
      <c r="G167" s="210">
        <v>0</v>
      </c>
      <c r="I167" s="211">
        <f>(E167*$G$5)+(F167*$G$6)+(G167*$G$7)</f>
        <v>309.47999999999996</v>
      </c>
      <c r="J167" s="211">
        <f>I167</f>
        <v>309.47999999999996</v>
      </c>
      <c r="K167" s="211">
        <f>I167</f>
        <v>309.47999999999996</v>
      </c>
      <c r="L167" s="211">
        <f>I167</f>
        <v>309.47999999999996</v>
      </c>
      <c r="M167" s="211">
        <f>I167</f>
        <v>309.47999999999996</v>
      </c>
    </row>
    <row r="168" spans="1:13" x14ac:dyDescent="0.45">
      <c r="A168" s="174">
        <v>18</v>
      </c>
      <c r="B168" s="220" t="s">
        <v>205</v>
      </c>
      <c r="C168" s="174" t="s">
        <v>167</v>
      </c>
      <c r="D168" s="174" t="s">
        <v>168</v>
      </c>
      <c r="E168" s="210">
        <v>0.1</v>
      </c>
      <c r="F168" s="210">
        <v>0</v>
      </c>
      <c r="G168" s="210">
        <v>0</v>
      </c>
      <c r="I168" s="211">
        <f>(E168*$G$5)+(F168*$G$6)+(G168*$G$7)</f>
        <v>103.16</v>
      </c>
      <c r="J168" s="211">
        <f>I168</f>
        <v>103.16</v>
      </c>
      <c r="K168" s="211">
        <f>I168</f>
        <v>103.16</v>
      </c>
      <c r="L168" s="211">
        <f>I168</f>
        <v>103.16</v>
      </c>
      <c r="M168" s="211">
        <f>I168</f>
        <v>103.16</v>
      </c>
    </row>
    <row r="169" spans="1:13" ht="14.65" thickBot="1" x14ac:dyDescent="0.5">
      <c r="A169" s="174">
        <v>18</v>
      </c>
      <c r="B169" s="220" t="s">
        <v>205</v>
      </c>
      <c r="C169" s="174" t="s">
        <v>169</v>
      </c>
      <c r="D169" s="174" t="s">
        <v>170</v>
      </c>
      <c r="E169" s="210">
        <v>0</v>
      </c>
      <c r="F169" s="210">
        <v>0</v>
      </c>
      <c r="G169" s="210">
        <v>0</v>
      </c>
      <c r="I169" s="211">
        <f>(E169*$G$5)+(F169*$G$6)+(G169*$G$7)</f>
        <v>0</v>
      </c>
      <c r="J169" s="211">
        <f>I169</f>
        <v>0</v>
      </c>
      <c r="K169" s="211">
        <f>I169</f>
        <v>0</v>
      </c>
      <c r="L169" s="211">
        <f>I169</f>
        <v>0</v>
      </c>
      <c r="M169" s="211">
        <f>I169</f>
        <v>0</v>
      </c>
    </row>
    <row r="170" spans="1:13" ht="14.65" thickBot="1" x14ac:dyDescent="0.5">
      <c r="A170" s="174">
        <v>18</v>
      </c>
      <c r="B170" s="220" t="s">
        <v>66</v>
      </c>
      <c r="C170" s="205" t="s">
        <v>171</v>
      </c>
      <c r="D170" s="205"/>
      <c r="E170" s="212">
        <f>SUM(E163:E169)</f>
        <v>0.9</v>
      </c>
      <c r="F170" s="210">
        <v>0</v>
      </c>
      <c r="G170" s="205"/>
      <c r="H170" s="205"/>
      <c r="I170" s="213">
        <f>SUM(I163:I169)</f>
        <v>928.43999999999994</v>
      </c>
      <c r="J170" s="213">
        <f>SUM(J163:J169)</f>
        <v>670.53999999999985</v>
      </c>
      <c r="K170" s="213">
        <f>SUM(K163:K169)</f>
        <v>670.53999999999985</v>
      </c>
      <c r="L170" s="213">
        <f>SUM(L163:L169)</f>
        <v>670.53999999999985</v>
      </c>
      <c r="M170" s="214">
        <f>SUM(M163:M169)</f>
        <v>670.53999999999985</v>
      </c>
    </row>
    <row r="171" spans="1:13" x14ac:dyDescent="0.45">
      <c r="A171" s="174">
        <v>18</v>
      </c>
      <c r="B171" s="222"/>
      <c r="C171" s="216"/>
      <c r="D171" s="216"/>
      <c r="E171" s="216"/>
      <c r="F171" s="216"/>
      <c r="G171" s="216"/>
      <c r="H171" s="216"/>
      <c r="I171" s="217" t="s">
        <v>172</v>
      </c>
      <c r="J171" s="218"/>
      <c r="K171" s="218"/>
      <c r="L171" s="218"/>
      <c r="M171" s="218"/>
    </row>
    <row r="172" spans="1:13" x14ac:dyDescent="0.45">
      <c r="A172" s="174">
        <v>19</v>
      </c>
      <c r="B172" s="323" t="s">
        <v>67</v>
      </c>
      <c r="C172" s="174" t="s">
        <v>159</v>
      </c>
      <c r="D172" s="209" t="s">
        <v>160</v>
      </c>
      <c r="E172" s="210">
        <v>1</v>
      </c>
      <c r="F172" s="210">
        <v>0</v>
      </c>
      <c r="G172" s="210">
        <v>0</v>
      </c>
      <c r="I172" s="211">
        <f>(E172*$G$5)+(F172*$G$6)+(G172*$G$7)</f>
        <v>1031.5999999999999</v>
      </c>
      <c r="J172" s="211"/>
      <c r="K172" s="211"/>
      <c r="L172" s="211"/>
      <c r="M172" s="211"/>
    </row>
    <row r="173" spans="1:13" x14ac:dyDescent="0.45">
      <c r="A173" s="174">
        <v>19</v>
      </c>
      <c r="B173" s="323" t="s">
        <v>67</v>
      </c>
      <c r="C173" s="174" t="s">
        <v>161</v>
      </c>
      <c r="E173" s="210">
        <v>0</v>
      </c>
      <c r="F173" s="210">
        <v>0</v>
      </c>
      <c r="G173" s="210">
        <v>0</v>
      </c>
      <c r="I173" s="211"/>
      <c r="J173" s="211"/>
      <c r="K173" s="211"/>
      <c r="L173" s="211"/>
      <c r="M173" s="211"/>
    </row>
    <row r="174" spans="1:13" x14ac:dyDescent="0.45">
      <c r="A174" s="174">
        <v>19</v>
      </c>
      <c r="B174" s="323" t="s">
        <v>67</v>
      </c>
      <c r="C174" s="174" t="s">
        <v>162</v>
      </c>
      <c r="D174" s="174" t="s">
        <v>163</v>
      </c>
      <c r="E174" s="210">
        <v>1</v>
      </c>
      <c r="F174" s="210">
        <v>0</v>
      </c>
      <c r="G174" s="210">
        <v>0</v>
      </c>
      <c r="I174" s="211">
        <f>(E174*$G$5)+(F174*$G$6)+(G174*$G$7)</f>
        <v>1031.5999999999999</v>
      </c>
      <c r="J174" s="211">
        <f>I174</f>
        <v>1031.5999999999999</v>
      </c>
      <c r="K174" s="211">
        <f>I174</f>
        <v>1031.5999999999999</v>
      </c>
      <c r="L174" s="211">
        <f>I174</f>
        <v>1031.5999999999999</v>
      </c>
      <c r="M174" s="211">
        <f>I174</f>
        <v>1031.5999999999999</v>
      </c>
    </row>
    <row r="175" spans="1:13" x14ac:dyDescent="0.45">
      <c r="A175" s="174">
        <v>19</v>
      </c>
      <c r="B175" s="323" t="s">
        <v>67</v>
      </c>
      <c r="C175" s="174" t="s">
        <v>164</v>
      </c>
      <c r="E175" s="210">
        <v>0</v>
      </c>
      <c r="F175" s="210">
        <v>0</v>
      </c>
      <c r="G175" s="210">
        <v>0</v>
      </c>
      <c r="I175" s="211">
        <v>0</v>
      </c>
      <c r="J175" s="211"/>
      <c r="K175" s="211"/>
      <c r="L175" s="211"/>
      <c r="M175" s="211"/>
    </row>
    <row r="176" spans="1:13" x14ac:dyDescent="0.45">
      <c r="A176" s="174">
        <v>19</v>
      </c>
      <c r="B176" s="323" t="s">
        <v>67</v>
      </c>
      <c r="C176" s="174" t="s">
        <v>165</v>
      </c>
      <c r="D176" s="174" t="s">
        <v>166</v>
      </c>
      <c r="E176" s="210">
        <v>1</v>
      </c>
      <c r="F176" s="210">
        <v>0</v>
      </c>
      <c r="G176" s="210">
        <v>0</v>
      </c>
      <c r="I176" s="211">
        <f>(E176*$G$5)+(F176*$G$6)+(G176*$G$7)</f>
        <v>1031.5999999999999</v>
      </c>
      <c r="J176" s="211">
        <f>I176</f>
        <v>1031.5999999999999</v>
      </c>
      <c r="K176" s="211">
        <f>I176</f>
        <v>1031.5999999999999</v>
      </c>
      <c r="L176" s="211">
        <f>I176</f>
        <v>1031.5999999999999</v>
      </c>
      <c r="M176" s="211">
        <f>I176</f>
        <v>1031.5999999999999</v>
      </c>
    </row>
    <row r="177" spans="1:13" x14ac:dyDescent="0.45">
      <c r="A177" s="174">
        <v>19</v>
      </c>
      <c r="B177" s="323" t="s">
        <v>67</v>
      </c>
      <c r="C177" s="174" t="s">
        <v>167</v>
      </c>
      <c r="D177" s="174" t="s">
        <v>168</v>
      </c>
      <c r="E177" s="210">
        <v>0.5</v>
      </c>
      <c r="F177" s="210">
        <v>0</v>
      </c>
      <c r="G177" s="210">
        <v>0</v>
      </c>
      <c r="I177" s="211">
        <f>(E177*$G$5)+(F177*$G$6)+(G177*$G$7)</f>
        <v>515.79999999999995</v>
      </c>
      <c r="J177" s="211">
        <f>I177</f>
        <v>515.79999999999995</v>
      </c>
      <c r="K177" s="211">
        <f>I177</f>
        <v>515.79999999999995</v>
      </c>
      <c r="L177" s="211">
        <f>I177</f>
        <v>515.79999999999995</v>
      </c>
      <c r="M177" s="211">
        <f>I177</f>
        <v>515.79999999999995</v>
      </c>
    </row>
    <row r="178" spans="1:13" ht="14.65" thickBot="1" x14ac:dyDescent="0.5">
      <c r="A178" s="174">
        <v>19</v>
      </c>
      <c r="B178" s="323" t="s">
        <v>67</v>
      </c>
      <c r="C178" s="174" t="s">
        <v>169</v>
      </c>
      <c r="D178" s="174" t="s">
        <v>170</v>
      </c>
      <c r="E178" s="210">
        <v>0.3</v>
      </c>
      <c r="F178" s="210">
        <v>0</v>
      </c>
      <c r="G178" s="210">
        <v>0</v>
      </c>
      <c r="I178" s="211">
        <f>(E178*$G$5)+(F178*$G$6)+(G178*$G$7)</f>
        <v>309.47999999999996</v>
      </c>
      <c r="J178" s="211">
        <f>I178</f>
        <v>309.47999999999996</v>
      </c>
      <c r="K178" s="211">
        <f>I178</f>
        <v>309.47999999999996</v>
      </c>
      <c r="L178" s="211">
        <f>I178</f>
        <v>309.47999999999996</v>
      </c>
      <c r="M178" s="211">
        <f>I178</f>
        <v>309.47999999999996</v>
      </c>
    </row>
    <row r="179" spans="1:13" ht="14.65" thickBot="1" x14ac:dyDescent="0.5">
      <c r="A179" s="174">
        <v>19</v>
      </c>
      <c r="B179" s="323" t="s">
        <v>67</v>
      </c>
      <c r="C179" s="205" t="s">
        <v>171</v>
      </c>
      <c r="D179" s="205"/>
      <c r="E179" s="212">
        <f>SUM(E172:E178)</f>
        <v>3.8</v>
      </c>
      <c r="F179" s="210">
        <v>0</v>
      </c>
      <c r="G179" s="205"/>
      <c r="H179" s="205"/>
      <c r="I179" s="213">
        <f>SUM(I172:I178)</f>
        <v>3920.0799999999995</v>
      </c>
      <c r="J179" s="213">
        <f>SUM(J172:J178)</f>
        <v>2888.48</v>
      </c>
      <c r="K179" s="213">
        <f>SUM(K172:K178)</f>
        <v>2888.48</v>
      </c>
      <c r="L179" s="213">
        <f>SUM(L172:L178)</f>
        <v>2888.48</v>
      </c>
      <c r="M179" s="214">
        <f>SUM(M172:M178)</f>
        <v>2888.48</v>
      </c>
    </row>
    <row r="180" spans="1:13" x14ac:dyDescent="0.45">
      <c r="A180" s="174">
        <v>19</v>
      </c>
      <c r="B180" s="222"/>
      <c r="C180" s="216"/>
      <c r="D180" s="216"/>
      <c r="E180" s="216"/>
      <c r="F180" s="216"/>
      <c r="G180" s="216"/>
      <c r="H180" s="216"/>
      <c r="I180" s="217" t="s">
        <v>172</v>
      </c>
      <c r="J180" s="218"/>
      <c r="K180" s="218"/>
      <c r="L180" s="218"/>
      <c r="M180" s="218"/>
    </row>
    <row r="181" spans="1:13" x14ac:dyDescent="0.45">
      <c r="A181" s="174">
        <v>20</v>
      </c>
      <c r="B181" s="220" t="s">
        <v>206</v>
      </c>
      <c r="C181" s="174" t="s">
        <v>159</v>
      </c>
      <c r="D181" s="209" t="s">
        <v>160</v>
      </c>
      <c r="E181" s="210">
        <v>2</v>
      </c>
      <c r="F181" s="210">
        <v>0</v>
      </c>
      <c r="G181" s="210">
        <v>0</v>
      </c>
      <c r="I181" s="211">
        <f>(E181*$G$5)+(F181*$G$6)+(G181*$G$7)</f>
        <v>2063.1999999999998</v>
      </c>
      <c r="J181" s="211"/>
      <c r="K181" s="211"/>
      <c r="L181" s="211"/>
      <c r="M181" s="211"/>
    </row>
    <row r="182" spans="1:13" x14ac:dyDescent="0.45">
      <c r="A182" s="174">
        <v>20</v>
      </c>
      <c r="B182" s="220" t="s">
        <v>206</v>
      </c>
      <c r="C182" s="174" t="s">
        <v>161</v>
      </c>
      <c r="E182" s="210">
        <v>0</v>
      </c>
      <c r="F182" s="210">
        <v>0</v>
      </c>
      <c r="G182" s="210">
        <v>0</v>
      </c>
      <c r="I182" s="211"/>
      <c r="J182" s="211"/>
      <c r="K182" s="211"/>
      <c r="L182" s="211"/>
      <c r="M182" s="211"/>
    </row>
    <row r="183" spans="1:13" x14ac:dyDescent="0.45">
      <c r="A183" s="174">
        <v>20</v>
      </c>
      <c r="B183" s="220" t="s">
        <v>206</v>
      </c>
      <c r="C183" s="174" t="s">
        <v>162</v>
      </c>
      <c r="D183" s="174" t="s">
        <v>163</v>
      </c>
      <c r="E183" s="210">
        <v>4</v>
      </c>
      <c r="F183" s="210">
        <v>0</v>
      </c>
      <c r="G183" s="210">
        <v>0</v>
      </c>
      <c r="I183" s="211">
        <f>(E183*$G$5)+(F183*$G$6)+(G183*$G$7)</f>
        <v>4126.3999999999996</v>
      </c>
      <c r="J183" s="211"/>
      <c r="K183" s="211"/>
      <c r="L183" s="211"/>
      <c r="M183" s="211"/>
    </row>
    <row r="184" spans="1:13" x14ac:dyDescent="0.45">
      <c r="A184" s="174">
        <v>20</v>
      </c>
      <c r="B184" s="220" t="s">
        <v>206</v>
      </c>
      <c r="C184" s="174" t="s">
        <v>164</v>
      </c>
      <c r="E184" s="210">
        <v>0</v>
      </c>
      <c r="F184" s="210">
        <v>0</v>
      </c>
      <c r="G184" s="210">
        <v>0</v>
      </c>
      <c r="I184" s="211">
        <v>1000</v>
      </c>
      <c r="J184" s="211"/>
      <c r="K184" s="211"/>
      <c r="L184" s="211"/>
      <c r="M184" s="211"/>
    </row>
    <row r="185" spans="1:13" x14ac:dyDescent="0.45">
      <c r="A185" s="174">
        <v>20</v>
      </c>
      <c r="B185" s="220" t="s">
        <v>206</v>
      </c>
      <c r="C185" s="174" t="s">
        <v>165</v>
      </c>
      <c r="D185" s="174" t="s">
        <v>166</v>
      </c>
      <c r="E185" s="210">
        <v>2</v>
      </c>
      <c r="F185" s="210">
        <v>0</v>
      </c>
      <c r="G185" s="210">
        <v>0</v>
      </c>
      <c r="I185" s="211">
        <f>(E185*$G$5)+(F185*$G$6)+(G185*$G$7)</f>
        <v>2063.1999999999998</v>
      </c>
      <c r="J185" s="211"/>
      <c r="K185" s="211"/>
      <c r="L185" s="211"/>
      <c r="M185" s="211"/>
    </row>
    <row r="186" spans="1:13" x14ac:dyDescent="0.45">
      <c r="A186" s="174">
        <v>20</v>
      </c>
      <c r="B186" s="220" t="s">
        <v>206</v>
      </c>
      <c r="C186" s="174" t="s">
        <v>167</v>
      </c>
      <c r="D186" s="174" t="s">
        <v>168</v>
      </c>
      <c r="E186" s="210">
        <v>2</v>
      </c>
      <c r="F186" s="210">
        <v>0</v>
      </c>
      <c r="G186" s="210">
        <v>0</v>
      </c>
      <c r="I186" s="211">
        <f>(E186*$G$5)+(F186*$G$6)+(G186*$G$7)</f>
        <v>2063.1999999999998</v>
      </c>
      <c r="J186" s="211"/>
      <c r="K186" s="211"/>
      <c r="L186" s="211"/>
      <c r="M186" s="211"/>
    </row>
    <row r="187" spans="1:13" ht="14.65" thickBot="1" x14ac:dyDescent="0.5">
      <c r="A187" s="174">
        <v>20</v>
      </c>
      <c r="B187" s="220" t="s">
        <v>206</v>
      </c>
      <c r="C187" s="174" t="s">
        <v>169</v>
      </c>
      <c r="D187" s="174" t="s">
        <v>170</v>
      </c>
      <c r="E187" s="210">
        <v>4</v>
      </c>
      <c r="F187" s="210">
        <v>0</v>
      </c>
      <c r="G187" s="210">
        <v>0</v>
      </c>
      <c r="I187" s="211">
        <f>(E187*$G$5)+(F187*$G$6)+(G187*$G$7)</f>
        <v>4126.3999999999996</v>
      </c>
      <c r="J187" s="211"/>
      <c r="K187" s="211"/>
      <c r="L187" s="211"/>
      <c r="M187" s="211"/>
    </row>
    <row r="188" spans="1:13" ht="14.65" thickBot="1" x14ac:dyDescent="0.5">
      <c r="A188" s="174">
        <v>20</v>
      </c>
      <c r="B188" s="220" t="s">
        <v>68</v>
      </c>
      <c r="C188" s="205" t="s">
        <v>171</v>
      </c>
      <c r="D188" s="205"/>
      <c r="E188" s="212">
        <f>SUM(E181:E187)</f>
        <v>14</v>
      </c>
      <c r="F188" s="210">
        <v>0</v>
      </c>
      <c r="G188" s="205"/>
      <c r="H188" s="205"/>
      <c r="I188" s="213">
        <f>SUM(I181:I187)</f>
        <v>15442.4</v>
      </c>
      <c r="J188" s="213">
        <f>SUM(J181:J187)</f>
        <v>0</v>
      </c>
      <c r="K188" s="213">
        <f>SUM(K181:K187)</f>
        <v>0</v>
      </c>
      <c r="L188" s="213">
        <f>SUM(L181:L187)</f>
        <v>0</v>
      </c>
      <c r="M188" s="214">
        <f>SUM(M181:M187)</f>
        <v>0</v>
      </c>
    </row>
    <row r="189" spans="1:13" x14ac:dyDescent="0.45">
      <c r="A189" s="174">
        <v>20</v>
      </c>
      <c r="B189" s="222"/>
      <c r="C189" s="216"/>
      <c r="D189" s="216"/>
      <c r="E189" s="216"/>
      <c r="F189" s="216"/>
      <c r="G189" s="216"/>
      <c r="H189" s="216"/>
      <c r="I189" s="217" t="s">
        <v>172</v>
      </c>
      <c r="J189" s="218"/>
      <c r="K189" s="218"/>
      <c r="L189" s="218"/>
      <c r="M189" s="218"/>
    </row>
    <row r="190" spans="1:13" x14ac:dyDescent="0.45">
      <c r="A190" s="174">
        <v>21</v>
      </c>
      <c r="B190" s="220" t="s">
        <v>69</v>
      </c>
      <c r="C190" s="174" t="s">
        <v>159</v>
      </c>
      <c r="D190" s="209" t="s">
        <v>160</v>
      </c>
      <c r="E190" s="210">
        <v>0</v>
      </c>
      <c r="F190" s="210">
        <v>0</v>
      </c>
      <c r="G190" s="210">
        <v>0</v>
      </c>
      <c r="I190" s="211">
        <f>(E190*$G$5)+(F190*$G$6)+(G190*$G$7)</f>
        <v>0</v>
      </c>
      <c r="J190" s="211"/>
      <c r="K190" s="211"/>
      <c r="L190" s="211"/>
      <c r="M190" s="211"/>
    </row>
    <row r="191" spans="1:13" x14ac:dyDescent="0.45">
      <c r="A191" s="174">
        <v>21</v>
      </c>
      <c r="B191" s="220" t="s">
        <v>69</v>
      </c>
      <c r="C191" s="174" t="s">
        <v>161</v>
      </c>
      <c r="E191" s="210">
        <v>0</v>
      </c>
      <c r="F191" s="210">
        <v>0</v>
      </c>
      <c r="G191" s="210">
        <v>0</v>
      </c>
      <c r="I191" s="211"/>
      <c r="J191" s="211"/>
      <c r="K191" s="211"/>
      <c r="L191" s="211"/>
      <c r="M191" s="211"/>
    </row>
    <row r="192" spans="1:13" x14ac:dyDescent="0.45">
      <c r="A192" s="174">
        <v>21</v>
      </c>
      <c r="B192" s="220" t="s">
        <v>69</v>
      </c>
      <c r="C192" s="174" t="s">
        <v>162</v>
      </c>
      <c r="D192" s="174" t="s">
        <v>163</v>
      </c>
      <c r="E192" s="210">
        <v>0.5</v>
      </c>
      <c r="F192" s="210">
        <v>0</v>
      </c>
      <c r="G192" s="210">
        <v>0</v>
      </c>
      <c r="I192" s="211">
        <f>(E192*$G$5)+(F192*$G$6)+(G192*$G$7)</f>
        <v>515.79999999999995</v>
      </c>
      <c r="J192" s="211">
        <f>I192</f>
        <v>515.79999999999995</v>
      </c>
      <c r="K192" s="211">
        <f>I192</f>
        <v>515.79999999999995</v>
      </c>
      <c r="L192" s="211">
        <f>I192</f>
        <v>515.79999999999995</v>
      </c>
      <c r="M192" s="211">
        <f>I192</f>
        <v>515.79999999999995</v>
      </c>
    </row>
    <row r="193" spans="1:13" x14ac:dyDescent="0.45">
      <c r="A193" s="174">
        <v>21</v>
      </c>
      <c r="B193" s="220" t="s">
        <v>69</v>
      </c>
      <c r="C193" s="174" t="s">
        <v>164</v>
      </c>
      <c r="E193" s="210">
        <v>0</v>
      </c>
      <c r="F193" s="210">
        <v>0</v>
      </c>
      <c r="G193" s="210">
        <v>0</v>
      </c>
      <c r="I193" s="211">
        <v>0</v>
      </c>
      <c r="J193" s="211"/>
      <c r="K193" s="211"/>
      <c r="L193" s="211"/>
      <c r="M193" s="211"/>
    </row>
    <row r="194" spans="1:13" x14ac:dyDescent="0.45">
      <c r="A194" s="174">
        <v>21</v>
      </c>
      <c r="B194" s="220" t="s">
        <v>69</v>
      </c>
      <c r="C194" s="174" t="s">
        <v>165</v>
      </c>
      <c r="D194" s="174" t="s">
        <v>166</v>
      </c>
      <c r="E194" s="210">
        <v>0</v>
      </c>
      <c r="F194" s="210">
        <v>0</v>
      </c>
      <c r="G194" s="210">
        <v>0</v>
      </c>
      <c r="I194" s="211">
        <f>(E194*$G$5)+(F194*$G$6)+(G194*$G$7)</f>
        <v>0</v>
      </c>
      <c r="J194" s="211">
        <f>I194</f>
        <v>0</v>
      </c>
      <c r="K194" s="211">
        <f>I194</f>
        <v>0</v>
      </c>
      <c r="L194" s="211">
        <f>I194</f>
        <v>0</v>
      </c>
      <c r="M194" s="211">
        <f>I194</f>
        <v>0</v>
      </c>
    </row>
    <row r="195" spans="1:13" x14ac:dyDescent="0.45">
      <c r="A195" s="174">
        <v>21</v>
      </c>
      <c r="B195" s="220" t="s">
        <v>69</v>
      </c>
      <c r="C195" s="174" t="s">
        <v>167</v>
      </c>
      <c r="D195" s="174" t="s">
        <v>168</v>
      </c>
      <c r="E195" s="210">
        <v>0</v>
      </c>
      <c r="F195" s="210">
        <v>0</v>
      </c>
      <c r="G195" s="210">
        <v>0</v>
      </c>
      <c r="I195" s="211">
        <f>(E195*$G$5)+(F195*$G$6)+(G195*$G$7)</f>
        <v>0</v>
      </c>
      <c r="J195" s="211">
        <f>I195</f>
        <v>0</v>
      </c>
      <c r="K195" s="211">
        <f>I195</f>
        <v>0</v>
      </c>
      <c r="L195" s="211">
        <f>I195</f>
        <v>0</v>
      </c>
      <c r="M195" s="211">
        <f>I195</f>
        <v>0</v>
      </c>
    </row>
    <row r="196" spans="1:13" ht="14.65" thickBot="1" x14ac:dyDescent="0.5">
      <c r="A196" s="174">
        <v>21</v>
      </c>
      <c r="B196" s="220" t="s">
        <v>69</v>
      </c>
      <c r="C196" s="174" t="s">
        <v>169</v>
      </c>
      <c r="D196" s="174" t="s">
        <v>170</v>
      </c>
      <c r="E196" s="210">
        <v>0</v>
      </c>
      <c r="F196" s="210">
        <v>0</v>
      </c>
      <c r="G196" s="210">
        <v>0</v>
      </c>
      <c r="I196" s="211">
        <f>(E196*$G$5)+(F196*$G$6)+(G196*$G$7)</f>
        <v>0</v>
      </c>
      <c r="J196" s="211">
        <f>I196</f>
        <v>0</v>
      </c>
      <c r="K196" s="211">
        <f>I196</f>
        <v>0</v>
      </c>
      <c r="L196" s="211">
        <f>I196</f>
        <v>0</v>
      </c>
      <c r="M196" s="211">
        <f>I196</f>
        <v>0</v>
      </c>
    </row>
    <row r="197" spans="1:13" ht="14.65" thickBot="1" x14ac:dyDescent="0.5">
      <c r="A197" s="174">
        <v>21</v>
      </c>
      <c r="B197" s="220" t="s">
        <v>69</v>
      </c>
      <c r="C197" s="205" t="s">
        <v>171</v>
      </c>
      <c r="D197" s="205"/>
      <c r="E197" s="212">
        <f>SUM(E190:E196)</f>
        <v>0.5</v>
      </c>
      <c r="F197" s="210">
        <v>0</v>
      </c>
      <c r="G197" s="205"/>
      <c r="H197" s="205"/>
      <c r="I197" s="213">
        <f>SUM(I190:I196)</f>
        <v>515.79999999999995</v>
      </c>
      <c r="J197" s="213">
        <f>SUM(J190:J196)</f>
        <v>515.79999999999995</v>
      </c>
      <c r="K197" s="213">
        <f>SUM(K190:K196)</f>
        <v>515.79999999999995</v>
      </c>
      <c r="L197" s="213">
        <f>SUM(L190:L196)</f>
        <v>515.79999999999995</v>
      </c>
      <c r="M197" s="214">
        <f>SUM(M190:M196)</f>
        <v>515.79999999999995</v>
      </c>
    </row>
    <row r="198" spans="1:13" x14ac:dyDescent="0.45">
      <c r="A198" s="174">
        <v>21</v>
      </c>
      <c r="B198" s="222"/>
      <c r="C198" s="216"/>
      <c r="D198" s="216"/>
      <c r="E198" s="216"/>
      <c r="F198" s="216"/>
      <c r="G198" s="216"/>
      <c r="H198" s="216"/>
      <c r="I198" s="217" t="s">
        <v>172</v>
      </c>
      <c r="J198" s="218"/>
      <c r="K198" s="218"/>
      <c r="L198" s="218"/>
      <c r="M198" s="218"/>
    </row>
    <row r="199" spans="1:13" x14ac:dyDescent="0.45">
      <c r="A199" s="174">
        <v>22</v>
      </c>
      <c r="B199" s="323" t="s">
        <v>70</v>
      </c>
      <c r="C199" s="174" t="s">
        <v>159</v>
      </c>
      <c r="D199" s="209" t="s">
        <v>160</v>
      </c>
      <c r="E199" s="210">
        <v>0</v>
      </c>
      <c r="F199" s="210">
        <v>0</v>
      </c>
      <c r="G199" s="210">
        <v>0</v>
      </c>
      <c r="I199" s="211">
        <f>(E199*$G$5)+(F199*$G$6)+(G199*$G$7)</f>
        <v>0</v>
      </c>
      <c r="J199" s="211"/>
      <c r="K199" s="211"/>
      <c r="L199" s="211"/>
      <c r="M199" s="211"/>
    </row>
    <row r="200" spans="1:13" x14ac:dyDescent="0.45">
      <c r="A200" s="174">
        <v>22</v>
      </c>
      <c r="B200" s="323" t="s">
        <v>70</v>
      </c>
      <c r="C200" s="174" t="s">
        <v>161</v>
      </c>
      <c r="E200" s="210">
        <v>0</v>
      </c>
      <c r="F200" s="210">
        <v>0</v>
      </c>
      <c r="G200" s="210">
        <v>0</v>
      </c>
      <c r="I200" s="211"/>
      <c r="J200" s="211"/>
      <c r="K200" s="211"/>
      <c r="L200" s="211"/>
      <c r="M200" s="211"/>
    </row>
    <row r="201" spans="1:13" x14ac:dyDescent="0.45">
      <c r="A201" s="174">
        <v>22</v>
      </c>
      <c r="B201" s="323" t="s">
        <v>70</v>
      </c>
      <c r="C201" s="174" t="s">
        <v>162</v>
      </c>
      <c r="D201" s="174" t="s">
        <v>163</v>
      </c>
      <c r="E201" s="210">
        <v>0</v>
      </c>
      <c r="F201" s="210">
        <v>0</v>
      </c>
      <c r="G201" s="210">
        <v>0</v>
      </c>
      <c r="I201" s="211">
        <f>(E201*$G$5)+(F201*$G$6)+(G201*$G$7)</f>
        <v>0</v>
      </c>
      <c r="J201" s="211">
        <f>I201</f>
        <v>0</v>
      </c>
      <c r="K201" s="211">
        <f>I201</f>
        <v>0</v>
      </c>
      <c r="L201" s="211">
        <f>I201</f>
        <v>0</v>
      </c>
      <c r="M201" s="211">
        <f>I201</f>
        <v>0</v>
      </c>
    </row>
    <row r="202" spans="1:13" x14ac:dyDescent="0.45">
      <c r="A202" s="174">
        <v>22</v>
      </c>
      <c r="B202" s="323" t="s">
        <v>70</v>
      </c>
      <c r="C202" s="174" t="s">
        <v>164</v>
      </c>
      <c r="E202" s="210">
        <v>0</v>
      </c>
      <c r="F202" s="210">
        <v>0</v>
      </c>
      <c r="G202" s="210">
        <v>0</v>
      </c>
      <c r="I202" s="211">
        <v>0</v>
      </c>
      <c r="J202" s="211"/>
      <c r="K202" s="211"/>
      <c r="L202" s="211"/>
      <c r="M202" s="211"/>
    </row>
    <row r="203" spans="1:13" x14ac:dyDescent="0.45">
      <c r="A203" s="174">
        <v>22</v>
      </c>
      <c r="B203" s="323" t="s">
        <v>70</v>
      </c>
      <c r="C203" s="174" t="s">
        <v>165</v>
      </c>
      <c r="D203" s="174" t="s">
        <v>166</v>
      </c>
      <c r="E203" s="210">
        <v>0</v>
      </c>
      <c r="F203" s="210">
        <v>0</v>
      </c>
      <c r="G203" s="210">
        <v>0</v>
      </c>
      <c r="I203" s="211">
        <f>(E203*$G$5)+(F203*$G$6)+(G203*$G$7)</f>
        <v>0</v>
      </c>
      <c r="J203" s="211">
        <f>I203</f>
        <v>0</v>
      </c>
      <c r="K203" s="211">
        <f>I203</f>
        <v>0</v>
      </c>
      <c r="L203" s="211">
        <f>I203</f>
        <v>0</v>
      </c>
      <c r="M203" s="211">
        <f>I203</f>
        <v>0</v>
      </c>
    </row>
    <row r="204" spans="1:13" x14ac:dyDescent="0.45">
      <c r="A204" s="174">
        <v>22</v>
      </c>
      <c r="B204" s="323" t="s">
        <v>70</v>
      </c>
      <c r="C204" s="174" t="s">
        <v>167</v>
      </c>
      <c r="D204" s="174" t="s">
        <v>168</v>
      </c>
      <c r="E204" s="210">
        <v>0</v>
      </c>
      <c r="F204" s="210">
        <v>0</v>
      </c>
      <c r="G204" s="210">
        <v>0</v>
      </c>
      <c r="I204" s="211">
        <f>(E204*$G$5)+(F204*$G$6)+(G204*$G$7)</f>
        <v>0</v>
      </c>
      <c r="J204" s="211">
        <f>I204</f>
        <v>0</v>
      </c>
      <c r="K204" s="211">
        <f>I204</f>
        <v>0</v>
      </c>
      <c r="L204" s="211">
        <f>I204</f>
        <v>0</v>
      </c>
      <c r="M204" s="211">
        <f>I204</f>
        <v>0</v>
      </c>
    </row>
    <row r="205" spans="1:13" ht="14.65" thickBot="1" x14ac:dyDescent="0.5">
      <c r="A205" s="174">
        <v>22</v>
      </c>
      <c r="B205" s="323" t="s">
        <v>70</v>
      </c>
      <c r="C205" s="174" t="s">
        <v>169</v>
      </c>
      <c r="D205" s="174" t="s">
        <v>170</v>
      </c>
      <c r="E205" s="210">
        <v>0</v>
      </c>
      <c r="F205" s="210">
        <v>0</v>
      </c>
      <c r="G205" s="210">
        <v>0</v>
      </c>
      <c r="I205" s="211">
        <f>(E205*$G$5)+(F205*$G$6)+(G205*$G$7)</f>
        <v>0</v>
      </c>
      <c r="J205" s="211">
        <f>I205</f>
        <v>0</v>
      </c>
      <c r="K205" s="211">
        <f>I205</f>
        <v>0</v>
      </c>
      <c r="L205" s="211">
        <f>I205</f>
        <v>0</v>
      </c>
      <c r="M205" s="211">
        <f>I205</f>
        <v>0</v>
      </c>
    </row>
    <row r="206" spans="1:13" ht="14.65" thickBot="1" x14ac:dyDescent="0.5">
      <c r="A206" s="174">
        <v>22</v>
      </c>
      <c r="B206" s="323" t="s">
        <v>70</v>
      </c>
      <c r="C206" s="205" t="s">
        <v>171</v>
      </c>
      <c r="D206" s="205"/>
      <c r="E206" s="212">
        <f>SUM(E199:E205)</f>
        <v>0</v>
      </c>
      <c r="F206" s="210">
        <v>0</v>
      </c>
      <c r="G206" s="205"/>
      <c r="H206" s="205"/>
      <c r="I206" s="213">
        <f>SUM(I199:I205)</f>
        <v>0</v>
      </c>
      <c r="J206" s="213">
        <f>SUM(J199:J205)</f>
        <v>0</v>
      </c>
      <c r="K206" s="213">
        <f>SUM(K199:K205)</f>
        <v>0</v>
      </c>
      <c r="L206" s="213">
        <f>SUM(L199:L205)</f>
        <v>0</v>
      </c>
      <c r="M206" s="214">
        <f>SUM(M199:M205)</f>
        <v>0</v>
      </c>
    </row>
    <row r="207" spans="1:13" x14ac:dyDescent="0.45">
      <c r="A207" s="174">
        <v>22</v>
      </c>
      <c r="B207" s="222"/>
      <c r="C207" s="216"/>
      <c r="D207" s="216"/>
      <c r="E207" s="216"/>
      <c r="F207" s="216"/>
      <c r="G207" s="216"/>
      <c r="H207" s="216"/>
      <c r="I207" s="217" t="s">
        <v>172</v>
      </c>
      <c r="J207" s="218"/>
      <c r="K207" s="218"/>
      <c r="L207" s="218"/>
      <c r="M207" s="218"/>
    </row>
    <row r="208" spans="1:13" x14ac:dyDescent="0.45">
      <c r="A208" s="174">
        <v>23</v>
      </c>
      <c r="B208" s="323" t="s">
        <v>71</v>
      </c>
      <c r="C208" s="174" t="s">
        <v>159</v>
      </c>
      <c r="D208" s="209" t="s">
        <v>160</v>
      </c>
      <c r="E208" s="210">
        <v>0</v>
      </c>
      <c r="F208" s="210">
        <v>0</v>
      </c>
      <c r="G208" s="210">
        <v>0</v>
      </c>
      <c r="I208" s="211">
        <f>(E208*$G$5)+(F208*$G$6)+(G208*$G$7)</f>
        <v>0</v>
      </c>
      <c r="J208" s="211"/>
      <c r="K208" s="211"/>
      <c r="L208" s="211"/>
      <c r="M208" s="211"/>
    </row>
    <row r="209" spans="1:13" x14ac:dyDescent="0.45">
      <c r="A209" s="174">
        <v>23</v>
      </c>
      <c r="B209" s="323" t="s">
        <v>71</v>
      </c>
      <c r="C209" s="174" t="s">
        <v>161</v>
      </c>
      <c r="E209" s="210">
        <v>0</v>
      </c>
      <c r="F209" s="210">
        <v>0</v>
      </c>
      <c r="G209" s="210">
        <v>0</v>
      </c>
      <c r="I209" s="211"/>
      <c r="J209" s="211"/>
      <c r="K209" s="211"/>
      <c r="L209" s="211"/>
      <c r="M209" s="211"/>
    </row>
    <row r="210" spans="1:13" x14ac:dyDescent="0.45">
      <c r="A210" s="174">
        <v>23</v>
      </c>
      <c r="B210" s="323" t="s">
        <v>71</v>
      </c>
      <c r="C210" s="174" t="s">
        <v>162</v>
      </c>
      <c r="D210" s="174" t="s">
        <v>163</v>
      </c>
      <c r="E210" s="210">
        <v>0</v>
      </c>
      <c r="F210" s="210">
        <v>0</v>
      </c>
      <c r="G210" s="210">
        <v>0</v>
      </c>
      <c r="I210" s="211">
        <f>(E210*$G$5)+(F210*$G$6)+(G210*$G$7)</f>
        <v>0</v>
      </c>
      <c r="J210" s="211">
        <f>I210</f>
        <v>0</v>
      </c>
      <c r="K210" s="211">
        <f>I210</f>
        <v>0</v>
      </c>
      <c r="L210" s="211">
        <f>I210</f>
        <v>0</v>
      </c>
      <c r="M210" s="211">
        <f>I210</f>
        <v>0</v>
      </c>
    </row>
    <row r="211" spans="1:13" x14ac:dyDescent="0.45">
      <c r="A211" s="174">
        <v>23</v>
      </c>
      <c r="B211" s="323" t="s">
        <v>71</v>
      </c>
      <c r="C211" s="174" t="s">
        <v>164</v>
      </c>
      <c r="E211" s="210">
        <v>0</v>
      </c>
      <c r="F211" s="210">
        <v>0</v>
      </c>
      <c r="G211" s="210">
        <v>0</v>
      </c>
      <c r="I211" s="211">
        <v>0</v>
      </c>
      <c r="J211" s="211"/>
      <c r="K211" s="211"/>
      <c r="L211" s="211"/>
      <c r="M211" s="211"/>
    </row>
    <row r="212" spans="1:13" x14ac:dyDescent="0.45">
      <c r="A212" s="174">
        <v>23</v>
      </c>
      <c r="B212" s="323" t="s">
        <v>71</v>
      </c>
      <c r="C212" s="174" t="s">
        <v>165</v>
      </c>
      <c r="D212" s="174" t="s">
        <v>166</v>
      </c>
      <c r="E212" s="210">
        <v>0</v>
      </c>
      <c r="F212" s="210">
        <v>0</v>
      </c>
      <c r="G212" s="210">
        <v>0</v>
      </c>
      <c r="I212" s="211">
        <f>(E212*$G$5)+(F212*$G$6)+(G212*$G$7)</f>
        <v>0</v>
      </c>
      <c r="J212" s="211">
        <f>I212</f>
        <v>0</v>
      </c>
      <c r="K212" s="211">
        <f>I212</f>
        <v>0</v>
      </c>
      <c r="L212" s="211">
        <f>I212</f>
        <v>0</v>
      </c>
      <c r="M212" s="211">
        <f>I212</f>
        <v>0</v>
      </c>
    </row>
    <row r="213" spans="1:13" x14ac:dyDescent="0.45">
      <c r="A213" s="174">
        <v>23</v>
      </c>
      <c r="B213" s="323" t="s">
        <v>71</v>
      </c>
      <c r="C213" s="174" t="s">
        <v>167</v>
      </c>
      <c r="D213" s="174" t="s">
        <v>168</v>
      </c>
      <c r="E213" s="210">
        <v>0</v>
      </c>
      <c r="F213" s="210">
        <v>0</v>
      </c>
      <c r="G213" s="210">
        <v>0</v>
      </c>
      <c r="I213" s="211">
        <f>(E213*$G$5)+(F213*$G$6)+(G213*$G$7)</f>
        <v>0</v>
      </c>
      <c r="J213" s="211">
        <f>I213</f>
        <v>0</v>
      </c>
      <c r="K213" s="211">
        <f>I213</f>
        <v>0</v>
      </c>
      <c r="L213" s="211">
        <f>I213</f>
        <v>0</v>
      </c>
      <c r="M213" s="211">
        <f>I213</f>
        <v>0</v>
      </c>
    </row>
    <row r="214" spans="1:13" ht="14.65" thickBot="1" x14ac:dyDescent="0.5">
      <c r="A214" s="174">
        <v>23</v>
      </c>
      <c r="B214" s="323" t="s">
        <v>71</v>
      </c>
      <c r="C214" s="174" t="s">
        <v>169</v>
      </c>
      <c r="D214" s="174" t="s">
        <v>170</v>
      </c>
      <c r="E214" s="210">
        <v>0</v>
      </c>
      <c r="F214" s="210">
        <v>0</v>
      </c>
      <c r="G214" s="210">
        <v>0</v>
      </c>
      <c r="I214" s="211">
        <f>(E214*$G$5)+(F214*$G$6)+(G214*$G$7)</f>
        <v>0</v>
      </c>
      <c r="J214" s="211">
        <f>I214</f>
        <v>0</v>
      </c>
      <c r="K214" s="211">
        <f>I214</f>
        <v>0</v>
      </c>
      <c r="L214" s="211">
        <f>I214</f>
        <v>0</v>
      </c>
      <c r="M214" s="211">
        <f>I214</f>
        <v>0</v>
      </c>
    </row>
    <row r="215" spans="1:13" ht="14.65" thickBot="1" x14ac:dyDescent="0.5">
      <c r="A215" s="174">
        <v>23</v>
      </c>
      <c r="B215" s="323" t="s">
        <v>71</v>
      </c>
      <c r="C215" s="205" t="s">
        <v>171</v>
      </c>
      <c r="D215" s="205"/>
      <c r="E215" s="212">
        <f>SUM(E208:E214)</f>
        <v>0</v>
      </c>
      <c r="F215" s="210">
        <v>0</v>
      </c>
      <c r="G215" s="205"/>
      <c r="H215" s="205"/>
      <c r="I215" s="213">
        <f>SUM(I208:I214)</f>
        <v>0</v>
      </c>
      <c r="J215" s="213">
        <f>SUM(J208:J214)</f>
        <v>0</v>
      </c>
      <c r="K215" s="213">
        <f>SUM(K208:K214)</f>
        <v>0</v>
      </c>
      <c r="L215" s="213">
        <f>SUM(L208:L214)</f>
        <v>0</v>
      </c>
      <c r="M215" s="214">
        <f>SUM(M208:M214)</f>
        <v>0</v>
      </c>
    </row>
    <row r="216" spans="1:13" x14ac:dyDescent="0.45">
      <c r="A216" s="174">
        <v>23</v>
      </c>
      <c r="B216" s="222"/>
      <c r="C216" s="216"/>
      <c r="D216" s="216"/>
      <c r="E216" s="216"/>
      <c r="F216" s="216"/>
      <c r="G216" s="216"/>
      <c r="H216" s="216"/>
      <c r="I216" s="217" t="s">
        <v>172</v>
      </c>
      <c r="J216" s="218"/>
      <c r="K216" s="218"/>
      <c r="L216" s="218"/>
      <c r="M216" s="218"/>
    </row>
    <row r="217" spans="1:13" x14ac:dyDescent="0.45">
      <c r="A217" s="174">
        <v>24</v>
      </c>
      <c r="B217" s="229" t="s">
        <v>72</v>
      </c>
      <c r="C217" s="174" t="s">
        <v>159</v>
      </c>
      <c r="D217" s="209" t="s">
        <v>160</v>
      </c>
      <c r="E217" s="210">
        <v>0</v>
      </c>
      <c r="F217" s="210">
        <v>0</v>
      </c>
      <c r="G217" s="210">
        <v>0</v>
      </c>
      <c r="I217" s="211">
        <f>(E217*$G$5)+(F217*$G$6)+(G217*$G$7)</f>
        <v>0</v>
      </c>
      <c r="J217" s="211"/>
      <c r="K217" s="211"/>
      <c r="L217" s="211"/>
      <c r="M217" s="211"/>
    </row>
    <row r="218" spans="1:13" x14ac:dyDescent="0.45">
      <c r="A218" s="174">
        <v>24</v>
      </c>
      <c r="B218" s="229" t="s">
        <v>72</v>
      </c>
      <c r="C218" s="174" t="s">
        <v>161</v>
      </c>
      <c r="E218" s="210">
        <v>0</v>
      </c>
      <c r="F218" s="210">
        <v>0</v>
      </c>
      <c r="G218" s="210">
        <v>0</v>
      </c>
      <c r="I218" s="211"/>
      <c r="J218" s="211"/>
      <c r="K218" s="211"/>
      <c r="L218" s="211"/>
      <c r="M218" s="211"/>
    </row>
    <row r="219" spans="1:13" x14ac:dyDescent="0.45">
      <c r="A219" s="174">
        <v>24</v>
      </c>
      <c r="B219" s="229" t="s">
        <v>72</v>
      </c>
      <c r="C219" s="174" t="s">
        <v>162</v>
      </c>
      <c r="D219" s="174" t="s">
        <v>163</v>
      </c>
      <c r="E219" s="210">
        <v>0</v>
      </c>
      <c r="F219" s="210">
        <v>0</v>
      </c>
      <c r="G219" s="210">
        <v>0</v>
      </c>
      <c r="I219" s="211">
        <f>(E219*$G$5)+(F219*$G$6)+(G219*$G$7)</f>
        <v>0</v>
      </c>
      <c r="J219" s="211">
        <f>I219</f>
        <v>0</v>
      </c>
      <c r="K219" s="211">
        <f>I219</f>
        <v>0</v>
      </c>
      <c r="L219" s="211">
        <f>I219</f>
        <v>0</v>
      </c>
      <c r="M219" s="211">
        <f>I219</f>
        <v>0</v>
      </c>
    </row>
    <row r="220" spans="1:13" x14ac:dyDescent="0.45">
      <c r="A220" s="174">
        <v>24</v>
      </c>
      <c r="B220" s="229" t="s">
        <v>72</v>
      </c>
      <c r="C220" s="174" t="s">
        <v>164</v>
      </c>
      <c r="E220" s="210">
        <v>0</v>
      </c>
      <c r="F220" s="210">
        <v>0</v>
      </c>
      <c r="G220" s="210">
        <v>0</v>
      </c>
      <c r="I220" s="211">
        <v>0</v>
      </c>
      <c r="J220" s="211"/>
      <c r="K220" s="211"/>
      <c r="L220" s="211"/>
      <c r="M220" s="211"/>
    </row>
    <row r="221" spans="1:13" x14ac:dyDescent="0.45">
      <c r="A221" s="174">
        <v>24</v>
      </c>
      <c r="B221" s="229" t="s">
        <v>72</v>
      </c>
      <c r="C221" s="174" t="s">
        <v>165</v>
      </c>
      <c r="D221" s="174" t="s">
        <v>166</v>
      </c>
      <c r="E221" s="210">
        <v>0</v>
      </c>
      <c r="F221" s="210">
        <v>0</v>
      </c>
      <c r="G221" s="210">
        <v>0</v>
      </c>
      <c r="I221" s="211">
        <f>(E221*$G$5)+(F221*$G$6)+(G221*$G$7)</f>
        <v>0</v>
      </c>
      <c r="J221" s="211">
        <f>I221</f>
        <v>0</v>
      </c>
      <c r="K221" s="211">
        <f>I221</f>
        <v>0</v>
      </c>
      <c r="L221" s="211">
        <f>I221</f>
        <v>0</v>
      </c>
      <c r="M221" s="211">
        <f>I221</f>
        <v>0</v>
      </c>
    </row>
    <row r="222" spans="1:13" x14ac:dyDescent="0.45">
      <c r="A222" s="174">
        <v>24</v>
      </c>
      <c r="B222" s="229" t="s">
        <v>72</v>
      </c>
      <c r="C222" s="174" t="s">
        <v>167</v>
      </c>
      <c r="D222" s="174" t="s">
        <v>168</v>
      </c>
      <c r="E222" s="210">
        <v>0</v>
      </c>
      <c r="F222" s="210">
        <v>0</v>
      </c>
      <c r="G222" s="210">
        <v>0</v>
      </c>
      <c r="I222" s="211">
        <f>(E222*$G$5)+(F222*$G$6)+(G222*$G$7)</f>
        <v>0</v>
      </c>
      <c r="J222" s="211">
        <f>I222</f>
        <v>0</v>
      </c>
      <c r="K222" s="211">
        <f>I222</f>
        <v>0</v>
      </c>
      <c r="L222" s="211">
        <f>I222</f>
        <v>0</v>
      </c>
      <c r="M222" s="211">
        <f>I222</f>
        <v>0</v>
      </c>
    </row>
    <row r="223" spans="1:13" ht="14.65" thickBot="1" x14ac:dyDescent="0.5">
      <c r="A223" s="174">
        <v>24</v>
      </c>
      <c r="B223" s="229" t="s">
        <v>72</v>
      </c>
      <c r="C223" s="174" t="s">
        <v>169</v>
      </c>
      <c r="D223" s="174" t="s">
        <v>170</v>
      </c>
      <c r="E223" s="210">
        <v>0</v>
      </c>
      <c r="F223" s="210">
        <v>0</v>
      </c>
      <c r="G223" s="210">
        <v>0</v>
      </c>
      <c r="I223" s="211">
        <f>(E223*$G$5)+(F223*$G$6)+(G223*$G$7)</f>
        <v>0</v>
      </c>
      <c r="J223" s="211">
        <f>I223</f>
        <v>0</v>
      </c>
      <c r="K223" s="211">
        <f>I223</f>
        <v>0</v>
      </c>
      <c r="L223" s="211">
        <f>I223</f>
        <v>0</v>
      </c>
      <c r="M223" s="211">
        <f>I223</f>
        <v>0</v>
      </c>
    </row>
    <row r="224" spans="1:13" ht="14.65" thickBot="1" x14ac:dyDescent="0.5">
      <c r="A224" s="174">
        <v>24</v>
      </c>
      <c r="B224" s="229" t="s">
        <v>72</v>
      </c>
      <c r="C224" s="205" t="s">
        <v>171</v>
      </c>
      <c r="D224" s="205"/>
      <c r="E224" s="212">
        <f>SUM(E217:E223)</f>
        <v>0</v>
      </c>
      <c r="F224" s="210">
        <v>0</v>
      </c>
      <c r="G224" s="205"/>
      <c r="H224" s="205"/>
      <c r="I224" s="213">
        <f>SUM(I217:I223)</f>
        <v>0</v>
      </c>
      <c r="J224" s="213">
        <f>SUM(J217:J223)</f>
        <v>0</v>
      </c>
      <c r="K224" s="213">
        <f>SUM(K217:K223)</f>
        <v>0</v>
      </c>
      <c r="L224" s="213">
        <f>SUM(L217:L223)</f>
        <v>0</v>
      </c>
      <c r="M224" s="214">
        <f>SUM(M217:M223)</f>
        <v>0</v>
      </c>
    </row>
    <row r="225" spans="1:13" x14ac:dyDescent="0.45">
      <c r="A225" s="174">
        <v>24</v>
      </c>
      <c r="B225" s="222"/>
      <c r="C225" s="216"/>
      <c r="D225" s="216"/>
      <c r="E225" s="216"/>
      <c r="F225" s="216"/>
      <c r="G225" s="216"/>
      <c r="H225" s="216"/>
      <c r="I225" s="217" t="s">
        <v>172</v>
      </c>
      <c r="J225" s="218"/>
      <c r="K225" s="218"/>
      <c r="L225" s="218"/>
      <c r="M225" s="218"/>
    </row>
    <row r="226" spans="1:13" x14ac:dyDescent="0.45">
      <c r="A226" s="174">
        <v>25</v>
      </c>
      <c r="B226" s="323" t="s">
        <v>73</v>
      </c>
      <c r="C226" s="174" t="s">
        <v>159</v>
      </c>
      <c r="D226" s="209" t="s">
        <v>160</v>
      </c>
      <c r="E226" s="210">
        <v>4</v>
      </c>
      <c r="F226" s="210">
        <v>0</v>
      </c>
      <c r="G226" s="210">
        <v>0</v>
      </c>
      <c r="I226" s="211">
        <f>(E226*$G$5)+(F226*$G$6)+(G226*$G$7)</f>
        <v>4126.3999999999996</v>
      </c>
      <c r="J226" s="211"/>
      <c r="K226" s="211"/>
      <c r="L226" s="211"/>
      <c r="M226" s="211"/>
    </row>
    <row r="227" spans="1:13" x14ac:dyDescent="0.45">
      <c r="A227" s="174">
        <v>25</v>
      </c>
      <c r="B227" s="323" t="s">
        <v>73</v>
      </c>
      <c r="C227" s="174" t="s">
        <v>161</v>
      </c>
      <c r="E227" s="210">
        <v>0</v>
      </c>
      <c r="F227" s="210">
        <v>0</v>
      </c>
      <c r="G227" s="210">
        <v>0</v>
      </c>
      <c r="I227" s="211"/>
      <c r="J227" s="211"/>
      <c r="K227" s="211"/>
      <c r="L227" s="211"/>
      <c r="M227" s="211"/>
    </row>
    <row r="228" spans="1:13" x14ac:dyDescent="0.45">
      <c r="A228" s="174">
        <v>25</v>
      </c>
      <c r="B228" s="323" t="s">
        <v>73</v>
      </c>
      <c r="C228" s="174" t="s">
        <v>162</v>
      </c>
      <c r="D228" s="174" t="s">
        <v>163</v>
      </c>
      <c r="E228" s="210">
        <v>0.3</v>
      </c>
      <c r="F228" s="210">
        <v>0</v>
      </c>
      <c r="G228" s="210">
        <v>0</v>
      </c>
      <c r="I228" s="211">
        <f>(E228*$G$5)+(F228*$G$6)+(G228*$G$7)</f>
        <v>309.47999999999996</v>
      </c>
      <c r="J228" s="211"/>
      <c r="K228" s="211"/>
      <c r="L228" s="211"/>
      <c r="M228" s="211"/>
    </row>
    <row r="229" spans="1:13" x14ac:dyDescent="0.45">
      <c r="A229" s="174">
        <v>25</v>
      </c>
      <c r="B229" s="323" t="s">
        <v>73</v>
      </c>
      <c r="C229" s="174" t="s">
        <v>164</v>
      </c>
      <c r="E229" s="210">
        <v>0</v>
      </c>
      <c r="F229" s="210">
        <v>0</v>
      </c>
      <c r="G229" s="210">
        <v>0</v>
      </c>
      <c r="I229" s="211">
        <v>0</v>
      </c>
      <c r="J229" s="211"/>
      <c r="K229" s="211"/>
      <c r="L229" s="211"/>
      <c r="M229" s="211"/>
    </row>
    <row r="230" spans="1:13" x14ac:dyDescent="0.45">
      <c r="A230" s="174">
        <v>25</v>
      </c>
      <c r="B230" s="323" t="s">
        <v>73</v>
      </c>
      <c r="C230" s="174" t="s">
        <v>165</v>
      </c>
      <c r="D230" s="174" t="s">
        <v>166</v>
      </c>
      <c r="E230" s="210">
        <v>0.3</v>
      </c>
      <c r="F230" s="210">
        <v>0</v>
      </c>
      <c r="G230" s="210">
        <v>0</v>
      </c>
      <c r="I230" s="211">
        <f>(E230*$G$5)+(F230*$G$6)+(G230*$G$7)</f>
        <v>309.47999999999996</v>
      </c>
      <c r="J230" s="211"/>
      <c r="K230" s="211"/>
      <c r="L230" s="211"/>
      <c r="M230" s="211"/>
    </row>
    <row r="231" spans="1:13" x14ac:dyDescent="0.45">
      <c r="A231" s="174">
        <v>25</v>
      </c>
      <c r="B231" s="323" t="s">
        <v>73</v>
      </c>
      <c r="C231" s="174" t="s">
        <v>167</v>
      </c>
      <c r="D231" s="174" t="s">
        <v>168</v>
      </c>
      <c r="E231" s="210">
        <v>0.3</v>
      </c>
      <c r="F231" s="210">
        <v>0</v>
      </c>
      <c r="G231" s="210">
        <v>0</v>
      </c>
      <c r="I231" s="211">
        <f>(E231*$G$5)+(F231*$G$6)+(G231*$G$7)</f>
        <v>309.47999999999996</v>
      </c>
      <c r="J231" s="211"/>
      <c r="K231" s="211"/>
      <c r="L231" s="211"/>
      <c r="M231" s="211"/>
    </row>
    <row r="232" spans="1:13" ht="14.65" thickBot="1" x14ac:dyDescent="0.5">
      <c r="A232" s="174">
        <v>25</v>
      </c>
      <c r="B232" s="323" t="s">
        <v>73</v>
      </c>
      <c r="C232" s="174" t="s">
        <v>169</v>
      </c>
      <c r="D232" s="174" t="s">
        <v>170</v>
      </c>
      <c r="E232" s="210">
        <v>0.3</v>
      </c>
      <c r="F232" s="210">
        <v>0</v>
      </c>
      <c r="G232" s="210">
        <v>0</v>
      </c>
      <c r="I232" s="211">
        <f>(E232*$G$5)+(F232*$G$6)+(G232*$G$7)</f>
        <v>309.47999999999996</v>
      </c>
      <c r="J232" s="211"/>
      <c r="K232" s="211"/>
      <c r="L232" s="211"/>
      <c r="M232" s="211"/>
    </row>
    <row r="233" spans="1:13" ht="14.65" thickBot="1" x14ac:dyDescent="0.5">
      <c r="A233" s="174">
        <v>25</v>
      </c>
      <c r="B233" s="323" t="s">
        <v>73</v>
      </c>
      <c r="C233" s="205" t="s">
        <v>171</v>
      </c>
      <c r="D233" s="205"/>
      <c r="E233" s="212">
        <f>SUM(E226:E232)</f>
        <v>5.1999999999999993</v>
      </c>
      <c r="F233" s="210">
        <v>0</v>
      </c>
      <c r="G233" s="205"/>
      <c r="H233" s="205"/>
      <c r="I233" s="213">
        <f>SUM(I226:I232)</f>
        <v>5364.3199999999979</v>
      </c>
      <c r="J233" s="213">
        <f>SUM(J226:J232)</f>
        <v>0</v>
      </c>
      <c r="K233" s="213">
        <f>SUM(K226:K232)</f>
        <v>0</v>
      </c>
      <c r="L233" s="213">
        <f>SUM(L226:L232)</f>
        <v>0</v>
      </c>
      <c r="M233" s="214">
        <f>SUM(M226:M232)</f>
        <v>0</v>
      </c>
    </row>
    <row r="234" spans="1:13" x14ac:dyDescent="0.45">
      <c r="A234" s="174">
        <v>25</v>
      </c>
      <c r="B234" s="222"/>
      <c r="C234" s="225"/>
      <c r="D234" s="225"/>
      <c r="E234" s="226"/>
      <c r="F234" s="227"/>
      <c r="G234" s="225"/>
      <c r="H234" s="225"/>
      <c r="I234" s="228"/>
      <c r="J234" s="228"/>
      <c r="K234" s="228"/>
      <c r="L234" s="228"/>
      <c r="M234" s="228"/>
    </row>
    <row r="235" spans="1:13" x14ac:dyDescent="0.45">
      <c r="A235" s="174">
        <v>26</v>
      </c>
      <c r="B235" s="323" t="s">
        <v>74</v>
      </c>
      <c r="C235" s="174" t="s">
        <v>159</v>
      </c>
      <c r="D235" s="209" t="s">
        <v>160</v>
      </c>
      <c r="E235" s="210">
        <v>0</v>
      </c>
      <c r="F235" s="210">
        <v>0</v>
      </c>
      <c r="G235" s="210">
        <v>0</v>
      </c>
      <c r="I235" s="211">
        <f>(E235*$G$5)+(F235*$G$6)+(G235*$G$7)</f>
        <v>0</v>
      </c>
      <c r="J235" s="211"/>
      <c r="K235" s="211"/>
      <c r="L235" s="211"/>
      <c r="M235" s="211"/>
    </row>
    <row r="236" spans="1:13" x14ac:dyDescent="0.45">
      <c r="A236" s="174">
        <v>26</v>
      </c>
      <c r="B236" s="323" t="s">
        <v>74</v>
      </c>
      <c r="C236" s="174" t="s">
        <v>161</v>
      </c>
      <c r="E236" s="210">
        <v>0</v>
      </c>
      <c r="F236" s="210">
        <v>0</v>
      </c>
      <c r="G236" s="210">
        <v>0</v>
      </c>
      <c r="I236" s="211"/>
      <c r="J236" s="211"/>
      <c r="K236" s="211"/>
      <c r="L236" s="211"/>
      <c r="M236" s="211"/>
    </row>
    <row r="237" spans="1:13" x14ac:dyDescent="0.45">
      <c r="A237" s="174">
        <v>26</v>
      </c>
      <c r="B237" s="323" t="s">
        <v>74</v>
      </c>
      <c r="C237" s="174" t="s">
        <v>162</v>
      </c>
      <c r="D237" s="174" t="s">
        <v>163</v>
      </c>
      <c r="E237" s="210">
        <v>1</v>
      </c>
      <c r="F237" s="210">
        <v>0</v>
      </c>
      <c r="G237" s="210">
        <v>0</v>
      </c>
      <c r="I237" s="211">
        <f>(E237*$G$5)+(F237*$G$6)+(G237*$G$7)</f>
        <v>1031.5999999999999</v>
      </c>
      <c r="J237" s="211">
        <f>I237</f>
        <v>1031.5999999999999</v>
      </c>
      <c r="K237" s="211">
        <f>I237</f>
        <v>1031.5999999999999</v>
      </c>
      <c r="L237" s="211">
        <f>I237</f>
        <v>1031.5999999999999</v>
      </c>
      <c r="M237" s="211">
        <f>I237</f>
        <v>1031.5999999999999</v>
      </c>
    </row>
    <row r="238" spans="1:13" x14ac:dyDescent="0.45">
      <c r="A238" s="174">
        <v>26</v>
      </c>
      <c r="B238" s="323" t="s">
        <v>74</v>
      </c>
      <c r="C238" s="174" t="s">
        <v>164</v>
      </c>
      <c r="E238" s="210">
        <v>0</v>
      </c>
      <c r="F238" s="210">
        <v>0</v>
      </c>
      <c r="G238" s="210">
        <v>0</v>
      </c>
      <c r="I238" s="211">
        <v>0</v>
      </c>
      <c r="J238" s="211"/>
      <c r="K238" s="211"/>
      <c r="L238" s="211"/>
      <c r="M238" s="211"/>
    </row>
    <row r="239" spans="1:13" x14ac:dyDescent="0.45">
      <c r="A239" s="174">
        <v>26</v>
      </c>
      <c r="B239" s="323" t="s">
        <v>74</v>
      </c>
      <c r="C239" s="174" t="s">
        <v>165</v>
      </c>
      <c r="D239" s="174" t="s">
        <v>166</v>
      </c>
      <c r="E239" s="210">
        <v>0</v>
      </c>
      <c r="F239" s="210">
        <v>0</v>
      </c>
      <c r="G239" s="210">
        <v>0</v>
      </c>
      <c r="I239" s="211">
        <f>(E239*$G$5)+(F239*$G$6)+(G239*$G$7)</f>
        <v>0</v>
      </c>
      <c r="J239" s="211">
        <f>I239</f>
        <v>0</v>
      </c>
      <c r="K239" s="211">
        <f>I239</f>
        <v>0</v>
      </c>
      <c r="L239" s="211">
        <f>I239</f>
        <v>0</v>
      </c>
      <c r="M239" s="211">
        <f>I239</f>
        <v>0</v>
      </c>
    </row>
    <row r="240" spans="1:13" x14ac:dyDescent="0.45">
      <c r="A240" s="174">
        <v>26</v>
      </c>
      <c r="B240" s="323" t="s">
        <v>74</v>
      </c>
      <c r="C240" s="174" t="s">
        <v>167</v>
      </c>
      <c r="D240" s="174" t="s">
        <v>168</v>
      </c>
      <c r="E240" s="210">
        <v>0</v>
      </c>
      <c r="F240" s="210">
        <v>0</v>
      </c>
      <c r="G240" s="210">
        <v>0</v>
      </c>
      <c r="I240" s="211">
        <f>(E240*$G$5)+(F240*$G$6)+(G240*$G$7)</f>
        <v>0</v>
      </c>
      <c r="J240" s="211">
        <f>I240</f>
        <v>0</v>
      </c>
      <c r="K240" s="211">
        <f>I240</f>
        <v>0</v>
      </c>
      <c r="L240" s="211">
        <f>I240</f>
        <v>0</v>
      </c>
      <c r="M240" s="211">
        <f>I240</f>
        <v>0</v>
      </c>
    </row>
    <row r="241" spans="1:13" ht="14.65" thickBot="1" x14ac:dyDescent="0.5">
      <c r="A241" s="174">
        <v>26</v>
      </c>
      <c r="B241" s="323" t="s">
        <v>74</v>
      </c>
      <c r="C241" s="174" t="s">
        <v>169</v>
      </c>
      <c r="D241" s="174" t="s">
        <v>170</v>
      </c>
      <c r="E241" s="210">
        <v>0</v>
      </c>
      <c r="F241" s="210">
        <v>0</v>
      </c>
      <c r="G241" s="210">
        <v>0</v>
      </c>
      <c r="I241" s="211">
        <f>(E241*$G$5)+(F241*$G$6)+(G241*$G$7)</f>
        <v>0</v>
      </c>
      <c r="J241" s="211">
        <f>I241</f>
        <v>0</v>
      </c>
      <c r="K241" s="211">
        <f>I241</f>
        <v>0</v>
      </c>
      <c r="L241" s="211">
        <f>I241</f>
        <v>0</v>
      </c>
      <c r="M241" s="211">
        <f>I241</f>
        <v>0</v>
      </c>
    </row>
    <row r="242" spans="1:13" ht="14.65" thickBot="1" x14ac:dyDescent="0.5">
      <c r="A242" s="174">
        <v>26</v>
      </c>
      <c r="B242" s="323" t="s">
        <v>74</v>
      </c>
      <c r="C242" s="205" t="s">
        <v>171</v>
      </c>
      <c r="D242" s="205"/>
      <c r="E242" s="212">
        <f>SUM(E235:E241)</f>
        <v>1</v>
      </c>
      <c r="F242" s="210">
        <v>0</v>
      </c>
      <c r="G242" s="205"/>
      <c r="H242" s="205"/>
      <c r="I242" s="213">
        <f>SUM(I235:I241)</f>
        <v>1031.5999999999999</v>
      </c>
      <c r="J242" s="213">
        <f>SUM(J235:J241)</f>
        <v>1031.5999999999999</v>
      </c>
      <c r="K242" s="213">
        <f>SUM(K235:K241)</f>
        <v>1031.5999999999999</v>
      </c>
      <c r="L242" s="213">
        <f>SUM(L235:L241)</f>
        <v>1031.5999999999999</v>
      </c>
      <c r="M242" s="214">
        <f>SUM(M235:M241)</f>
        <v>1031.5999999999999</v>
      </c>
    </row>
    <row r="243" spans="1:13" x14ac:dyDescent="0.45">
      <c r="A243" s="174">
        <v>26</v>
      </c>
      <c r="B243" s="222"/>
      <c r="C243" s="216"/>
      <c r="D243" s="216"/>
      <c r="E243" s="216"/>
      <c r="F243" s="216"/>
      <c r="G243" s="216"/>
      <c r="H243" s="216"/>
      <c r="I243" s="217" t="s">
        <v>172</v>
      </c>
      <c r="J243" s="218"/>
      <c r="K243" s="218"/>
      <c r="L243" s="218"/>
      <c r="M243" s="218"/>
    </row>
    <row r="244" spans="1:13" x14ac:dyDescent="0.45">
      <c r="A244" s="174">
        <v>27</v>
      </c>
      <c r="B244" s="323" t="s">
        <v>75</v>
      </c>
      <c r="C244" s="174" t="s">
        <v>159</v>
      </c>
      <c r="D244" s="209" t="s">
        <v>160</v>
      </c>
      <c r="E244" s="210">
        <v>0.3</v>
      </c>
      <c r="F244" s="210">
        <v>0</v>
      </c>
      <c r="G244" s="210">
        <v>0</v>
      </c>
      <c r="I244" s="211">
        <f>(E244*$G$5)+(F244*$G$6)+(G244*$G$7)</f>
        <v>309.47999999999996</v>
      </c>
      <c r="J244" s="211"/>
      <c r="K244" s="211"/>
      <c r="L244" s="211"/>
      <c r="M244" s="211"/>
    </row>
    <row r="245" spans="1:13" x14ac:dyDescent="0.45">
      <c r="A245" s="174">
        <v>27</v>
      </c>
      <c r="B245" s="323" t="s">
        <v>75</v>
      </c>
      <c r="C245" s="174" t="s">
        <v>161</v>
      </c>
      <c r="E245" s="210">
        <v>0</v>
      </c>
      <c r="F245" s="210">
        <v>0</v>
      </c>
      <c r="G245" s="210">
        <v>0</v>
      </c>
      <c r="I245" s="211"/>
      <c r="J245" s="211"/>
      <c r="K245" s="211"/>
      <c r="L245" s="211"/>
      <c r="M245" s="211"/>
    </row>
    <row r="246" spans="1:13" x14ac:dyDescent="0.45">
      <c r="A246" s="174">
        <v>27</v>
      </c>
      <c r="B246" s="323" t="s">
        <v>75</v>
      </c>
      <c r="C246" s="174" t="s">
        <v>162</v>
      </c>
      <c r="D246" s="174" t="s">
        <v>163</v>
      </c>
      <c r="E246" s="210">
        <v>0.3</v>
      </c>
      <c r="F246" s="210">
        <v>0</v>
      </c>
      <c r="G246" s="210">
        <v>0</v>
      </c>
      <c r="I246" s="211">
        <f>(E246*$G$5)+(F246*$G$6)+(G246*$G$7)</f>
        <v>309.47999999999996</v>
      </c>
      <c r="J246" s="211">
        <f>I246</f>
        <v>309.47999999999996</v>
      </c>
      <c r="K246" s="211">
        <f>I246</f>
        <v>309.47999999999996</v>
      </c>
      <c r="L246" s="211">
        <f>I246</f>
        <v>309.47999999999996</v>
      </c>
      <c r="M246" s="211">
        <f>I246</f>
        <v>309.47999999999996</v>
      </c>
    </row>
    <row r="247" spans="1:13" x14ac:dyDescent="0.45">
      <c r="A247" s="174">
        <v>27</v>
      </c>
      <c r="B247" s="323" t="s">
        <v>75</v>
      </c>
      <c r="C247" s="174" t="s">
        <v>164</v>
      </c>
      <c r="E247" s="210">
        <v>0</v>
      </c>
      <c r="F247" s="210">
        <v>0</v>
      </c>
      <c r="G247" s="210">
        <v>0</v>
      </c>
      <c r="I247" s="211">
        <v>0</v>
      </c>
      <c r="J247" s="211"/>
      <c r="K247" s="211"/>
      <c r="L247" s="211"/>
      <c r="M247" s="211"/>
    </row>
    <row r="248" spans="1:13" x14ac:dyDescent="0.45">
      <c r="A248" s="174">
        <v>27</v>
      </c>
      <c r="B248" s="323" t="s">
        <v>75</v>
      </c>
      <c r="C248" s="174" t="s">
        <v>165</v>
      </c>
      <c r="D248" s="174" t="s">
        <v>166</v>
      </c>
      <c r="E248" s="210">
        <v>0.3</v>
      </c>
      <c r="F248" s="210">
        <v>0</v>
      </c>
      <c r="G248" s="210">
        <v>0</v>
      </c>
      <c r="I248" s="211">
        <f>(E248*$G$5)+(F248*$G$6)+(G248*$G$7)</f>
        <v>309.47999999999996</v>
      </c>
      <c r="J248" s="211">
        <f>I248</f>
        <v>309.47999999999996</v>
      </c>
      <c r="K248" s="211">
        <f>I248</f>
        <v>309.47999999999996</v>
      </c>
      <c r="L248" s="211">
        <f>I248</f>
        <v>309.47999999999996</v>
      </c>
      <c r="M248" s="211">
        <f>I248</f>
        <v>309.47999999999996</v>
      </c>
    </row>
    <row r="249" spans="1:13" x14ac:dyDescent="0.45">
      <c r="A249" s="174">
        <v>27</v>
      </c>
      <c r="B249" s="323" t="s">
        <v>75</v>
      </c>
      <c r="C249" s="174" t="s">
        <v>167</v>
      </c>
      <c r="D249" s="174" t="s">
        <v>168</v>
      </c>
      <c r="E249" s="210">
        <v>0.3</v>
      </c>
      <c r="F249" s="210">
        <v>0</v>
      </c>
      <c r="G249" s="210">
        <v>0</v>
      </c>
      <c r="I249" s="211">
        <f>(E249*$G$5)+(F249*$G$6)+(G249*$G$7)</f>
        <v>309.47999999999996</v>
      </c>
      <c r="J249" s="211">
        <f>I249</f>
        <v>309.47999999999996</v>
      </c>
      <c r="K249" s="211">
        <f>I249</f>
        <v>309.47999999999996</v>
      </c>
      <c r="L249" s="211">
        <f>I249</f>
        <v>309.47999999999996</v>
      </c>
      <c r="M249" s="211">
        <f>I249</f>
        <v>309.47999999999996</v>
      </c>
    </row>
    <row r="250" spans="1:13" ht="14.65" thickBot="1" x14ac:dyDescent="0.5">
      <c r="A250" s="174">
        <v>27</v>
      </c>
      <c r="B250" s="323" t="s">
        <v>75</v>
      </c>
      <c r="C250" s="174" t="s">
        <v>169</v>
      </c>
      <c r="D250" s="174" t="s">
        <v>170</v>
      </c>
      <c r="E250" s="210">
        <v>0.3</v>
      </c>
      <c r="F250" s="210">
        <v>0</v>
      </c>
      <c r="G250" s="210">
        <v>0</v>
      </c>
      <c r="I250" s="211">
        <f>(E250*$G$5)+(F250*$G$6)+(G250*$G$7)</f>
        <v>309.47999999999996</v>
      </c>
      <c r="J250" s="211">
        <f>I250</f>
        <v>309.47999999999996</v>
      </c>
      <c r="K250" s="211">
        <f>I250</f>
        <v>309.47999999999996</v>
      </c>
      <c r="L250" s="211">
        <f>I250</f>
        <v>309.47999999999996</v>
      </c>
      <c r="M250" s="211">
        <f>I250</f>
        <v>309.47999999999996</v>
      </c>
    </row>
    <row r="251" spans="1:13" ht="14.65" thickBot="1" x14ac:dyDescent="0.5">
      <c r="A251" s="174">
        <v>27</v>
      </c>
      <c r="B251" s="323" t="s">
        <v>75</v>
      </c>
      <c r="C251" s="205" t="s">
        <v>171</v>
      </c>
      <c r="D251" s="205"/>
      <c r="E251" s="212">
        <f>SUM(E244:E250)</f>
        <v>1.5</v>
      </c>
      <c r="F251" s="210">
        <v>0</v>
      </c>
      <c r="G251" s="205"/>
      <c r="H251" s="205"/>
      <c r="I251" s="213">
        <f>SUM(I244:I250)</f>
        <v>1547.3999999999999</v>
      </c>
      <c r="J251" s="213">
        <f>SUM(J244:J250)</f>
        <v>1237.9199999999998</v>
      </c>
      <c r="K251" s="213">
        <f>SUM(K244:K250)</f>
        <v>1237.9199999999998</v>
      </c>
      <c r="L251" s="213">
        <f>SUM(L244:L250)</f>
        <v>1237.9199999999998</v>
      </c>
      <c r="M251" s="214">
        <f>SUM(M244:M250)</f>
        <v>1237.9199999999998</v>
      </c>
    </row>
    <row r="252" spans="1:13" x14ac:dyDescent="0.45">
      <c r="A252" s="174">
        <v>27</v>
      </c>
      <c r="B252" s="222"/>
      <c r="C252" s="216"/>
      <c r="D252" s="216"/>
      <c r="E252" s="216"/>
      <c r="F252" s="216"/>
      <c r="G252" s="216"/>
      <c r="H252" s="216"/>
      <c r="I252" s="217" t="s">
        <v>172</v>
      </c>
      <c r="J252" s="218"/>
      <c r="K252" s="218"/>
      <c r="L252" s="218"/>
      <c r="M252" s="218"/>
    </row>
    <row r="253" spans="1:13" x14ac:dyDescent="0.45">
      <c r="A253" s="174">
        <v>28</v>
      </c>
      <c r="B253" s="323" t="s">
        <v>76</v>
      </c>
      <c r="C253" s="174" t="s">
        <v>159</v>
      </c>
      <c r="D253" s="209" t="s">
        <v>160</v>
      </c>
      <c r="E253" s="210">
        <v>0.3</v>
      </c>
      <c r="F253" s="210">
        <v>0</v>
      </c>
      <c r="G253" s="210">
        <v>0</v>
      </c>
      <c r="I253" s="211">
        <f>(E253*$G$5)+(F253*$G$6)+(G253*$G$7)</f>
        <v>309.47999999999996</v>
      </c>
      <c r="J253" s="211"/>
      <c r="K253" s="211"/>
      <c r="L253" s="211"/>
      <c r="M253" s="211"/>
    </row>
    <row r="254" spans="1:13" x14ac:dyDescent="0.45">
      <c r="A254" s="174">
        <v>28</v>
      </c>
      <c r="B254" s="323" t="s">
        <v>76</v>
      </c>
      <c r="C254" s="174" t="s">
        <v>161</v>
      </c>
      <c r="E254" s="210">
        <v>0</v>
      </c>
      <c r="F254" s="210">
        <v>0</v>
      </c>
      <c r="G254" s="210">
        <v>0</v>
      </c>
      <c r="I254" s="211"/>
      <c r="J254" s="211"/>
      <c r="K254" s="211"/>
      <c r="L254" s="211"/>
      <c r="M254" s="211"/>
    </row>
    <row r="255" spans="1:13" x14ac:dyDescent="0.45">
      <c r="A255" s="174">
        <v>28</v>
      </c>
      <c r="B255" s="323" t="s">
        <v>76</v>
      </c>
      <c r="C255" s="174" t="s">
        <v>162</v>
      </c>
      <c r="D255" s="174" t="s">
        <v>163</v>
      </c>
      <c r="E255" s="210">
        <v>0.3</v>
      </c>
      <c r="F255" s="210">
        <v>0</v>
      </c>
      <c r="G255" s="210">
        <v>0</v>
      </c>
      <c r="I255" s="211">
        <f>(E255*$G$5)+(F255*$G$6)+(G255*$G$7)</f>
        <v>309.47999999999996</v>
      </c>
      <c r="J255" s="211">
        <f>I255</f>
        <v>309.47999999999996</v>
      </c>
      <c r="K255" s="211">
        <f>I255</f>
        <v>309.47999999999996</v>
      </c>
      <c r="L255" s="211">
        <f>I255</f>
        <v>309.47999999999996</v>
      </c>
      <c r="M255" s="211">
        <f>I255</f>
        <v>309.47999999999996</v>
      </c>
    </row>
    <row r="256" spans="1:13" x14ac:dyDescent="0.45">
      <c r="A256" s="174">
        <v>28</v>
      </c>
      <c r="B256" s="323" t="s">
        <v>76</v>
      </c>
      <c r="C256" s="174" t="s">
        <v>164</v>
      </c>
      <c r="E256" s="210">
        <v>0</v>
      </c>
      <c r="F256" s="210">
        <v>0</v>
      </c>
      <c r="G256" s="210">
        <v>0</v>
      </c>
      <c r="I256" s="211">
        <v>0</v>
      </c>
      <c r="J256" s="211"/>
      <c r="K256" s="211"/>
      <c r="L256" s="211"/>
      <c r="M256" s="211"/>
    </row>
    <row r="257" spans="1:13" x14ac:dyDescent="0.45">
      <c r="A257" s="174">
        <v>28</v>
      </c>
      <c r="B257" s="323" t="s">
        <v>76</v>
      </c>
      <c r="C257" s="174" t="s">
        <v>165</v>
      </c>
      <c r="D257" s="174" t="s">
        <v>166</v>
      </c>
      <c r="E257" s="210">
        <v>0.3</v>
      </c>
      <c r="F257" s="210">
        <v>0</v>
      </c>
      <c r="G257" s="210">
        <v>0</v>
      </c>
      <c r="I257" s="211">
        <f>(E257*$G$5)+(F257*$G$6)+(G257*$G$7)</f>
        <v>309.47999999999996</v>
      </c>
      <c r="J257" s="211">
        <f>I257</f>
        <v>309.47999999999996</v>
      </c>
      <c r="K257" s="211">
        <f>I257</f>
        <v>309.47999999999996</v>
      </c>
      <c r="L257" s="211">
        <f>I257</f>
        <v>309.47999999999996</v>
      </c>
      <c r="M257" s="211">
        <f>I257</f>
        <v>309.47999999999996</v>
      </c>
    </row>
    <row r="258" spans="1:13" x14ac:dyDescent="0.45">
      <c r="A258" s="174">
        <v>28</v>
      </c>
      <c r="B258" s="323" t="s">
        <v>76</v>
      </c>
      <c r="C258" s="174" t="s">
        <v>167</v>
      </c>
      <c r="D258" s="174" t="s">
        <v>168</v>
      </c>
      <c r="E258" s="210">
        <v>0.3</v>
      </c>
      <c r="F258" s="210">
        <v>0</v>
      </c>
      <c r="G258" s="210">
        <v>0</v>
      </c>
      <c r="I258" s="211">
        <f>(E258*$G$5)+(F258*$G$6)+(G258*$G$7)</f>
        <v>309.47999999999996</v>
      </c>
      <c r="J258" s="211">
        <f>I258</f>
        <v>309.47999999999996</v>
      </c>
      <c r="K258" s="211">
        <f>I258</f>
        <v>309.47999999999996</v>
      </c>
      <c r="L258" s="211">
        <f>I258</f>
        <v>309.47999999999996</v>
      </c>
      <c r="M258" s="211">
        <f>I258</f>
        <v>309.47999999999996</v>
      </c>
    </row>
    <row r="259" spans="1:13" ht="14.65" thickBot="1" x14ac:dyDescent="0.5">
      <c r="A259" s="174">
        <v>28</v>
      </c>
      <c r="B259" s="323" t="s">
        <v>76</v>
      </c>
      <c r="C259" s="174" t="s">
        <v>169</v>
      </c>
      <c r="D259" s="174" t="s">
        <v>170</v>
      </c>
      <c r="E259" s="210">
        <v>0.3</v>
      </c>
      <c r="F259" s="210">
        <v>0</v>
      </c>
      <c r="G259" s="210">
        <v>0</v>
      </c>
      <c r="I259" s="211">
        <f>(E259*$G$5)+(F259*$G$6)+(G259*$G$7)</f>
        <v>309.47999999999996</v>
      </c>
      <c r="J259" s="211">
        <f>I259</f>
        <v>309.47999999999996</v>
      </c>
      <c r="K259" s="211">
        <f>I259</f>
        <v>309.47999999999996</v>
      </c>
      <c r="L259" s="211">
        <f>I259</f>
        <v>309.47999999999996</v>
      </c>
      <c r="M259" s="211">
        <f>I259</f>
        <v>309.47999999999996</v>
      </c>
    </row>
    <row r="260" spans="1:13" ht="14.65" thickBot="1" x14ac:dyDescent="0.5">
      <c r="A260" s="174">
        <v>28</v>
      </c>
      <c r="B260" s="323" t="s">
        <v>76</v>
      </c>
      <c r="C260" s="205" t="s">
        <v>171</v>
      </c>
      <c r="D260" s="205"/>
      <c r="E260" s="212">
        <f>SUM(E253:E259)</f>
        <v>1.5</v>
      </c>
      <c r="F260" s="210">
        <v>0</v>
      </c>
      <c r="G260" s="205"/>
      <c r="H260" s="205"/>
      <c r="I260" s="213">
        <f>SUM(I253:I259)</f>
        <v>1547.3999999999999</v>
      </c>
      <c r="J260" s="213">
        <f>SUM(J253:J259)</f>
        <v>1237.9199999999998</v>
      </c>
      <c r="K260" s="213">
        <f>SUM(K253:K259)</f>
        <v>1237.9199999999998</v>
      </c>
      <c r="L260" s="213">
        <f>SUM(L253:L259)</f>
        <v>1237.9199999999998</v>
      </c>
      <c r="M260" s="214">
        <f>SUM(M253:M259)</f>
        <v>1237.9199999999998</v>
      </c>
    </row>
    <row r="261" spans="1:13" x14ac:dyDescent="0.45">
      <c r="A261" s="174">
        <v>28</v>
      </c>
      <c r="B261" s="222"/>
      <c r="C261" s="216"/>
      <c r="D261" s="216"/>
      <c r="E261" s="216"/>
      <c r="F261" s="216"/>
      <c r="G261" s="216"/>
      <c r="H261" s="216"/>
      <c r="I261" s="217" t="s">
        <v>172</v>
      </c>
      <c r="J261" s="218"/>
      <c r="K261" s="218"/>
      <c r="L261" s="218"/>
      <c r="M261" s="218"/>
    </row>
    <row r="262" spans="1:13" s="283" customFormat="1" x14ac:dyDescent="0.45">
      <c r="B262" s="324" t="s">
        <v>77</v>
      </c>
      <c r="C262" s="283" t="s">
        <v>159</v>
      </c>
      <c r="D262" s="325" t="s">
        <v>207</v>
      </c>
      <c r="E262" s="284">
        <v>0.4</v>
      </c>
      <c r="F262" s="284">
        <v>0</v>
      </c>
      <c r="G262" s="284">
        <v>0</v>
      </c>
      <c r="I262" s="285">
        <f>(E262*$G$5)+(F262*$G$6)+(G262*$G$7)</f>
        <v>412.64</v>
      </c>
      <c r="J262" s="285"/>
      <c r="K262" s="285"/>
      <c r="L262" s="285"/>
      <c r="M262" s="285"/>
    </row>
    <row r="263" spans="1:13" s="283" customFormat="1" x14ac:dyDescent="0.45">
      <c r="B263" s="324" t="s">
        <v>77</v>
      </c>
      <c r="C263" s="283" t="s">
        <v>161</v>
      </c>
      <c r="E263" s="284">
        <v>0</v>
      </c>
      <c r="F263" s="284">
        <v>0</v>
      </c>
      <c r="G263" s="284">
        <v>0</v>
      </c>
      <c r="I263" s="285"/>
      <c r="J263" s="285"/>
      <c r="K263" s="285"/>
      <c r="L263" s="285"/>
      <c r="M263" s="285"/>
    </row>
    <row r="264" spans="1:13" s="283" customFormat="1" x14ac:dyDescent="0.45">
      <c r="B264" s="324" t="s">
        <v>77</v>
      </c>
      <c r="C264" s="283" t="s">
        <v>162</v>
      </c>
      <c r="D264" s="326" t="s">
        <v>160</v>
      </c>
      <c r="E264" s="284">
        <v>0.1</v>
      </c>
      <c r="F264" s="284">
        <v>0</v>
      </c>
      <c r="G264" s="284">
        <v>0</v>
      </c>
      <c r="I264" s="285">
        <f>(E264*$G$5)+(F264*$G$6)+(G264*$G$7)</f>
        <v>103.16</v>
      </c>
      <c r="J264" s="285">
        <f>I264</f>
        <v>103.16</v>
      </c>
      <c r="K264" s="285">
        <f>I264</f>
        <v>103.16</v>
      </c>
      <c r="L264" s="285">
        <f>I264</f>
        <v>103.16</v>
      </c>
      <c r="M264" s="285">
        <f>I264</f>
        <v>103.16</v>
      </c>
    </row>
    <row r="265" spans="1:13" s="283" customFormat="1" x14ac:dyDescent="0.45">
      <c r="B265" s="324" t="s">
        <v>77</v>
      </c>
      <c r="C265" s="283" t="s">
        <v>164</v>
      </c>
      <c r="E265" s="284">
        <v>0</v>
      </c>
      <c r="F265" s="284">
        <v>0</v>
      </c>
      <c r="G265" s="284">
        <v>0</v>
      </c>
      <c r="I265" s="285">
        <v>0</v>
      </c>
      <c r="J265" s="285"/>
      <c r="K265" s="285"/>
      <c r="L265" s="285"/>
      <c r="M265" s="285"/>
    </row>
    <row r="266" spans="1:13" s="283" customFormat="1" x14ac:dyDescent="0.45">
      <c r="B266" s="324" t="s">
        <v>77</v>
      </c>
      <c r="C266" s="283" t="s">
        <v>165</v>
      </c>
      <c r="D266" s="326" t="s">
        <v>160</v>
      </c>
      <c r="E266" s="284">
        <v>0.1</v>
      </c>
      <c r="F266" s="284">
        <v>0</v>
      </c>
      <c r="G266" s="284">
        <v>0</v>
      </c>
      <c r="I266" s="285">
        <f>(E266*$G$5)+(F266*$G$6)+(G266*$G$7)</f>
        <v>103.16</v>
      </c>
      <c r="J266" s="285">
        <f>I266</f>
        <v>103.16</v>
      </c>
      <c r="K266" s="285">
        <f>I266</f>
        <v>103.16</v>
      </c>
      <c r="L266" s="285">
        <f>I266</f>
        <v>103.16</v>
      </c>
      <c r="M266" s="285">
        <f>I266</f>
        <v>103.16</v>
      </c>
    </row>
    <row r="267" spans="1:13" s="283" customFormat="1" x14ac:dyDescent="0.45">
      <c r="B267" s="324" t="s">
        <v>77</v>
      </c>
      <c r="C267" s="283" t="s">
        <v>167</v>
      </c>
      <c r="D267" s="326" t="s">
        <v>160</v>
      </c>
      <c r="E267" s="284">
        <v>0.1</v>
      </c>
      <c r="F267" s="284">
        <v>0</v>
      </c>
      <c r="G267" s="284">
        <v>0</v>
      </c>
      <c r="I267" s="285">
        <f>(E267*$G$5)+(F267*$G$6)+(G267*$G$7)</f>
        <v>103.16</v>
      </c>
      <c r="J267" s="285">
        <f>I267</f>
        <v>103.16</v>
      </c>
      <c r="K267" s="285">
        <f>I267</f>
        <v>103.16</v>
      </c>
      <c r="L267" s="285">
        <f>I267</f>
        <v>103.16</v>
      </c>
      <c r="M267" s="285">
        <f>I267</f>
        <v>103.16</v>
      </c>
    </row>
    <row r="268" spans="1:13" s="283" customFormat="1" ht="14.65" thickBot="1" x14ac:dyDescent="0.5">
      <c r="B268" s="324" t="s">
        <v>77</v>
      </c>
      <c r="C268" s="283" t="s">
        <v>169</v>
      </c>
      <c r="D268" s="326" t="s">
        <v>160</v>
      </c>
      <c r="E268" s="284">
        <v>0.05</v>
      </c>
      <c r="F268" s="284">
        <v>0</v>
      </c>
      <c r="G268" s="284">
        <v>0</v>
      </c>
      <c r="I268" s="285">
        <f>(E268*$G$5)+(F268*$G$6)+(G268*$G$7)</f>
        <v>51.58</v>
      </c>
      <c r="J268" s="285">
        <f>I268</f>
        <v>51.58</v>
      </c>
      <c r="K268" s="285">
        <f>I268</f>
        <v>51.58</v>
      </c>
      <c r="L268" s="285">
        <f>I268</f>
        <v>51.58</v>
      </c>
      <c r="M268" s="285">
        <f>I268</f>
        <v>51.58</v>
      </c>
    </row>
    <row r="269" spans="1:13" s="283" customFormat="1" ht="14.65" thickBot="1" x14ac:dyDescent="0.5">
      <c r="B269" s="324" t="s">
        <v>77</v>
      </c>
      <c r="C269" s="286" t="s">
        <v>171</v>
      </c>
      <c r="D269" s="286"/>
      <c r="E269" s="287">
        <f>SUM(E262:E268)</f>
        <v>0.75</v>
      </c>
      <c r="F269" s="284">
        <v>0</v>
      </c>
      <c r="G269" s="286"/>
      <c r="H269" s="286"/>
      <c r="I269" s="288">
        <f>SUM(I262:I268)</f>
        <v>773.69999999999993</v>
      </c>
      <c r="J269" s="288">
        <f>SUM(J262:J268)</f>
        <v>361.06</v>
      </c>
      <c r="K269" s="288">
        <f>SUM(K262:K268)</f>
        <v>361.06</v>
      </c>
      <c r="L269" s="288">
        <f>SUM(L262:L268)</f>
        <v>361.06</v>
      </c>
      <c r="M269" s="289">
        <f>SUM(M262:M268)</f>
        <v>361.06</v>
      </c>
    </row>
    <row r="270" spans="1:13" x14ac:dyDescent="0.45">
      <c r="B270" s="222"/>
      <c r="C270" s="216"/>
      <c r="D270" s="216"/>
      <c r="E270" s="216"/>
      <c r="F270" s="216"/>
      <c r="G270" s="216"/>
      <c r="H270" s="216"/>
      <c r="I270" s="217" t="s">
        <v>172</v>
      </c>
      <c r="J270" s="218"/>
      <c r="K270" s="218"/>
      <c r="L270" s="218"/>
      <c r="M270" s="218"/>
    </row>
    <row r="271" spans="1:13" s="283" customFormat="1" x14ac:dyDescent="0.45">
      <c r="B271" s="324" t="s">
        <v>78</v>
      </c>
      <c r="C271" s="283" t="s">
        <v>159</v>
      </c>
      <c r="D271" s="325" t="s">
        <v>208</v>
      </c>
      <c r="E271" s="284">
        <v>0.2</v>
      </c>
      <c r="F271" s="284">
        <v>0</v>
      </c>
      <c r="G271" s="284">
        <v>0</v>
      </c>
      <c r="I271" s="285">
        <f>(E271*$G$5)+(F271*$G$6)+(G271*$G$7)</f>
        <v>206.32</v>
      </c>
      <c r="J271" s="285"/>
      <c r="K271" s="285"/>
      <c r="L271" s="285"/>
      <c r="M271" s="285"/>
    </row>
    <row r="272" spans="1:13" s="283" customFormat="1" x14ac:dyDescent="0.45">
      <c r="B272" s="324" t="s">
        <v>78</v>
      </c>
      <c r="C272" s="283" t="s">
        <v>161</v>
      </c>
      <c r="D272" s="326" t="s">
        <v>208</v>
      </c>
      <c r="E272" s="284">
        <v>0.4</v>
      </c>
      <c r="F272" s="284">
        <v>0</v>
      </c>
      <c r="G272" s="284">
        <v>0</v>
      </c>
      <c r="I272" s="285">
        <f>(E272*$G$5)+(F272*$G$6)+(G272*$G$7)</f>
        <v>412.64</v>
      </c>
      <c r="J272" s="285">
        <v>412.64</v>
      </c>
      <c r="K272" s="285">
        <v>412.64</v>
      </c>
      <c r="L272" s="285">
        <v>412.64</v>
      </c>
      <c r="M272" s="285">
        <v>412.64</v>
      </c>
    </row>
    <row r="273" spans="2:13" s="283" customFormat="1" x14ac:dyDescent="0.45">
      <c r="B273" s="324" t="s">
        <v>78</v>
      </c>
      <c r="C273" s="283" t="s">
        <v>162</v>
      </c>
      <c r="D273" s="326" t="s">
        <v>209</v>
      </c>
      <c r="E273" s="284">
        <v>0.2</v>
      </c>
      <c r="F273" s="284">
        <v>0</v>
      </c>
      <c r="G273" s="284">
        <v>0</v>
      </c>
      <c r="I273" s="285">
        <f>(E273*$G$5)+(F273*$G$6)+(G273*$G$7)</f>
        <v>206.32</v>
      </c>
      <c r="J273" s="285">
        <f>I273</f>
        <v>206.32</v>
      </c>
      <c r="K273" s="285">
        <f>I273</f>
        <v>206.32</v>
      </c>
      <c r="L273" s="285">
        <f>I273</f>
        <v>206.32</v>
      </c>
      <c r="M273" s="285">
        <f>I273</f>
        <v>206.32</v>
      </c>
    </row>
    <row r="274" spans="2:13" s="283" customFormat="1" x14ac:dyDescent="0.45">
      <c r="B274" s="324" t="s">
        <v>78</v>
      </c>
      <c r="C274" s="283" t="s">
        <v>164</v>
      </c>
      <c r="E274" s="284">
        <v>0</v>
      </c>
      <c r="F274" s="284">
        <v>0</v>
      </c>
      <c r="G274" s="284">
        <v>0</v>
      </c>
      <c r="I274" s="285">
        <v>0</v>
      </c>
      <c r="J274" s="285"/>
      <c r="K274" s="285"/>
      <c r="L274" s="285"/>
      <c r="M274" s="285"/>
    </row>
    <row r="275" spans="2:13" s="283" customFormat="1" x14ac:dyDescent="0.45">
      <c r="B275" s="324" t="s">
        <v>78</v>
      </c>
      <c r="C275" s="283" t="s">
        <v>165</v>
      </c>
      <c r="D275" s="326" t="s">
        <v>168</v>
      </c>
      <c r="E275" s="284">
        <v>0.2</v>
      </c>
      <c r="F275" s="284">
        <v>0</v>
      </c>
      <c r="G275" s="284">
        <v>0</v>
      </c>
      <c r="I275" s="285">
        <f>(E275*$G$5)+(F275*$G$6)+(G275*$G$7)</f>
        <v>206.32</v>
      </c>
      <c r="J275" s="285">
        <f>I275</f>
        <v>206.32</v>
      </c>
      <c r="K275" s="285">
        <f>I275</f>
        <v>206.32</v>
      </c>
      <c r="L275" s="285">
        <f>I275</f>
        <v>206.32</v>
      </c>
      <c r="M275" s="285">
        <f>I275</f>
        <v>206.32</v>
      </c>
    </row>
    <row r="276" spans="2:13" s="283" customFormat="1" x14ac:dyDescent="0.45">
      <c r="B276" s="324" t="s">
        <v>78</v>
      </c>
      <c r="C276" s="283" t="s">
        <v>167</v>
      </c>
      <c r="D276" s="283" t="s">
        <v>168</v>
      </c>
      <c r="E276" s="284">
        <v>0</v>
      </c>
      <c r="F276" s="284">
        <v>0</v>
      </c>
      <c r="G276" s="284">
        <v>0</v>
      </c>
      <c r="I276" s="285">
        <f>(E276*$G$5)+(F276*$G$6)+(G276*$G$7)</f>
        <v>0</v>
      </c>
      <c r="J276" s="285">
        <f>I276</f>
        <v>0</v>
      </c>
      <c r="K276" s="285">
        <f>I276</f>
        <v>0</v>
      </c>
      <c r="L276" s="285">
        <f>I276</f>
        <v>0</v>
      </c>
      <c r="M276" s="285">
        <f>I276</f>
        <v>0</v>
      </c>
    </row>
    <row r="277" spans="2:13" s="283" customFormat="1" ht="14.65" thickBot="1" x14ac:dyDescent="0.5">
      <c r="B277" s="324" t="s">
        <v>78</v>
      </c>
      <c r="C277" s="283" t="s">
        <v>169</v>
      </c>
      <c r="D277" s="326" t="s">
        <v>168</v>
      </c>
      <c r="E277" s="284">
        <v>0.2</v>
      </c>
      <c r="F277" s="284">
        <v>0</v>
      </c>
      <c r="G277" s="284">
        <v>0</v>
      </c>
      <c r="I277" s="285">
        <f>(E277*$G$5)+(F277*$G$6)+(G277*$G$7)</f>
        <v>206.32</v>
      </c>
      <c r="J277" s="285">
        <f>I277</f>
        <v>206.32</v>
      </c>
      <c r="K277" s="285">
        <f>I277</f>
        <v>206.32</v>
      </c>
      <c r="L277" s="285">
        <f>I277</f>
        <v>206.32</v>
      </c>
      <c r="M277" s="285">
        <f>I277</f>
        <v>206.32</v>
      </c>
    </row>
    <row r="278" spans="2:13" s="283" customFormat="1" ht="14.65" thickBot="1" x14ac:dyDescent="0.5">
      <c r="B278" s="324" t="s">
        <v>78</v>
      </c>
      <c r="C278" s="286" t="s">
        <v>171</v>
      </c>
      <c r="D278" s="286"/>
      <c r="E278" s="287">
        <f>SUM(E271:E277)</f>
        <v>1.2</v>
      </c>
      <c r="F278" s="284">
        <v>0</v>
      </c>
      <c r="G278" s="286"/>
      <c r="H278" s="286"/>
      <c r="I278" s="288">
        <f>SUM(I271:I277)</f>
        <v>1237.9199999999998</v>
      </c>
      <c r="J278" s="288">
        <f>SUM(J271:J277)</f>
        <v>1031.5999999999999</v>
      </c>
      <c r="K278" s="288">
        <f>SUM(K271:K277)</f>
        <v>1031.5999999999999</v>
      </c>
      <c r="L278" s="288">
        <f>SUM(L271:L277)</f>
        <v>1031.5999999999999</v>
      </c>
      <c r="M278" s="289">
        <f>SUM(M271:M277)</f>
        <v>1031.5999999999999</v>
      </c>
    </row>
    <row r="279" spans="2:13" x14ac:dyDescent="0.45">
      <c r="B279" s="222"/>
      <c r="C279" s="216"/>
      <c r="D279" s="216"/>
      <c r="E279" s="216"/>
      <c r="F279" s="216"/>
      <c r="G279" s="216"/>
      <c r="H279" s="216"/>
      <c r="I279" s="217" t="s">
        <v>172</v>
      </c>
      <c r="J279" s="218"/>
      <c r="K279" s="218"/>
      <c r="L279" s="218"/>
      <c r="M279" s="218"/>
    </row>
    <row r="280" spans="2:13" s="283" customFormat="1" x14ac:dyDescent="0.45">
      <c r="B280" s="324" t="s">
        <v>79</v>
      </c>
      <c r="C280" s="283" t="s">
        <v>159</v>
      </c>
      <c r="D280" s="290" t="s">
        <v>160</v>
      </c>
      <c r="E280" s="284">
        <v>0</v>
      </c>
      <c r="F280" s="284">
        <v>0</v>
      </c>
      <c r="G280" s="284">
        <v>0</v>
      </c>
      <c r="I280" s="285">
        <f>(E280*$G$5)+(F280*$G$6)+(G280*$G$7)</f>
        <v>0</v>
      </c>
      <c r="J280" s="285"/>
      <c r="K280" s="285"/>
      <c r="L280" s="285"/>
      <c r="M280" s="285"/>
    </row>
    <row r="281" spans="2:13" s="283" customFormat="1" x14ac:dyDescent="0.45">
      <c r="B281" s="324" t="s">
        <v>79</v>
      </c>
      <c r="C281" s="283" t="s">
        <v>161</v>
      </c>
      <c r="E281" s="284">
        <v>0</v>
      </c>
      <c r="F281" s="284">
        <v>0</v>
      </c>
      <c r="G281" s="284">
        <v>0</v>
      </c>
      <c r="I281" s="285"/>
      <c r="J281" s="285"/>
      <c r="K281" s="285"/>
      <c r="L281" s="285"/>
      <c r="M281" s="285"/>
    </row>
    <row r="282" spans="2:13" s="283" customFormat="1" x14ac:dyDescent="0.45">
      <c r="B282" s="324" t="s">
        <v>79</v>
      </c>
      <c r="C282" s="283" t="s">
        <v>162</v>
      </c>
      <c r="D282" s="326" t="s">
        <v>210</v>
      </c>
      <c r="E282" s="284">
        <v>0.4</v>
      </c>
      <c r="F282" s="284">
        <v>0</v>
      </c>
      <c r="G282" s="284">
        <v>0</v>
      </c>
      <c r="I282" s="285">
        <f>(E282*$G$5)+(F282*$G$6)+(G282*$G$7)</f>
        <v>412.64</v>
      </c>
      <c r="J282" s="285">
        <f>I282</f>
        <v>412.64</v>
      </c>
      <c r="K282" s="285">
        <f>I282</f>
        <v>412.64</v>
      </c>
      <c r="L282" s="285">
        <f>I282</f>
        <v>412.64</v>
      </c>
      <c r="M282" s="285">
        <f>I282</f>
        <v>412.64</v>
      </c>
    </row>
    <row r="283" spans="2:13" s="283" customFormat="1" x14ac:dyDescent="0.45">
      <c r="B283" s="324" t="s">
        <v>79</v>
      </c>
      <c r="C283" s="283" t="s">
        <v>164</v>
      </c>
      <c r="E283" s="284">
        <v>0</v>
      </c>
      <c r="F283" s="284">
        <v>0</v>
      </c>
      <c r="G283" s="284">
        <v>0</v>
      </c>
      <c r="I283" s="285">
        <v>500</v>
      </c>
      <c r="J283" s="285"/>
      <c r="K283" s="285"/>
      <c r="L283" s="285"/>
      <c r="M283" s="285"/>
    </row>
    <row r="284" spans="2:13" s="283" customFormat="1" x14ac:dyDescent="0.45">
      <c r="B284" s="324" t="s">
        <v>79</v>
      </c>
      <c r="C284" s="283" t="s">
        <v>165</v>
      </c>
      <c r="D284" s="326" t="s">
        <v>211</v>
      </c>
      <c r="E284" s="284">
        <v>0.1</v>
      </c>
      <c r="F284" s="284">
        <v>0</v>
      </c>
      <c r="G284" s="284">
        <v>0</v>
      </c>
      <c r="I284" s="285">
        <f>(E284*$G$5)+(F284*$G$6)+(G284*$G$7)</f>
        <v>103.16</v>
      </c>
      <c r="J284" s="285">
        <f>I284</f>
        <v>103.16</v>
      </c>
      <c r="K284" s="285">
        <f>I284</f>
        <v>103.16</v>
      </c>
      <c r="L284" s="285">
        <f>I284</f>
        <v>103.16</v>
      </c>
      <c r="M284" s="285">
        <f>I284</f>
        <v>103.16</v>
      </c>
    </row>
    <row r="285" spans="2:13" s="283" customFormat="1" x14ac:dyDescent="0.45">
      <c r="B285" s="324" t="s">
        <v>79</v>
      </c>
      <c r="C285" s="283" t="s">
        <v>167</v>
      </c>
      <c r="D285" s="326" t="s">
        <v>211</v>
      </c>
      <c r="E285" s="284">
        <v>0.1</v>
      </c>
      <c r="F285" s="284">
        <v>0</v>
      </c>
      <c r="G285" s="284">
        <v>0</v>
      </c>
      <c r="I285" s="285">
        <f>(E285*$G$5)+(F285*$G$6)+(G285*$G$7)</f>
        <v>103.16</v>
      </c>
      <c r="J285" s="285">
        <f>I285</f>
        <v>103.16</v>
      </c>
      <c r="K285" s="285">
        <f>I285</f>
        <v>103.16</v>
      </c>
      <c r="L285" s="285">
        <f>I285</f>
        <v>103.16</v>
      </c>
      <c r="M285" s="285">
        <f>I285</f>
        <v>103.16</v>
      </c>
    </row>
    <row r="286" spans="2:13" s="283" customFormat="1" ht="14.65" thickBot="1" x14ac:dyDescent="0.5">
      <c r="B286" s="324" t="s">
        <v>79</v>
      </c>
      <c r="C286" s="283" t="s">
        <v>169</v>
      </c>
      <c r="D286" s="283" t="s">
        <v>170</v>
      </c>
      <c r="E286" s="284">
        <v>0.1</v>
      </c>
      <c r="F286" s="284">
        <v>0</v>
      </c>
      <c r="G286" s="284">
        <v>0</v>
      </c>
      <c r="I286" s="285">
        <f>(E286*$G$5)+(F286*$G$6)+(G286*$G$7)</f>
        <v>103.16</v>
      </c>
      <c r="J286" s="285">
        <f>I286</f>
        <v>103.16</v>
      </c>
      <c r="K286" s="285">
        <f>I286</f>
        <v>103.16</v>
      </c>
      <c r="L286" s="285">
        <f>I286</f>
        <v>103.16</v>
      </c>
      <c r="M286" s="285">
        <f>I286</f>
        <v>103.16</v>
      </c>
    </row>
    <row r="287" spans="2:13" s="283" customFormat="1" ht="14.65" thickBot="1" x14ac:dyDescent="0.5">
      <c r="B287" s="281" t="s">
        <v>79</v>
      </c>
      <c r="C287" s="286" t="s">
        <v>171</v>
      </c>
      <c r="D287" s="286"/>
      <c r="E287" s="287">
        <f>SUM(E280:E286)</f>
        <v>0.7</v>
      </c>
      <c r="F287" s="284">
        <v>0</v>
      </c>
      <c r="G287" s="286"/>
      <c r="H287" s="286"/>
      <c r="I287" s="288">
        <f>SUM(I280:I286)</f>
        <v>1222.1200000000001</v>
      </c>
      <c r="J287" s="288">
        <f>SUM(J280:J286)</f>
        <v>722.11999999999989</v>
      </c>
      <c r="K287" s="288">
        <f>SUM(K280:K286)</f>
        <v>722.11999999999989</v>
      </c>
      <c r="L287" s="288">
        <f>SUM(L280:L286)</f>
        <v>722.11999999999989</v>
      </c>
      <c r="M287" s="289">
        <f>SUM(M280:M286)</f>
        <v>722.11999999999989</v>
      </c>
    </row>
    <row r="288" spans="2:13" x14ac:dyDescent="0.45">
      <c r="B288" s="222"/>
      <c r="C288" s="216"/>
      <c r="D288" s="216"/>
      <c r="E288" s="216"/>
      <c r="F288" s="216"/>
      <c r="G288" s="216"/>
      <c r="H288" s="216"/>
      <c r="I288" s="217" t="s">
        <v>172</v>
      </c>
      <c r="J288" s="218"/>
      <c r="K288" s="218"/>
      <c r="L288" s="218"/>
      <c r="M288" s="218"/>
    </row>
  </sheetData>
  <conditionalFormatting sqref="D1">
    <cfRule type="cellIs" dxfId="4" priority="4" operator="greaterThan">
      <formula>52</formula>
    </cfRule>
  </conditionalFormatting>
  <conditionalFormatting sqref="H2">
    <cfRule type="cellIs" dxfId="3" priority="1" operator="lessThan">
      <formula>0</formula>
    </cfRule>
    <cfRule type="cellIs" dxfId="2" priority="3" operator="greaterThan">
      <formula>$H$1</formula>
    </cfRule>
  </conditionalFormatting>
  <conditionalFormatting sqref="K2">
    <cfRule type="cellIs" dxfId="1" priority="2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O144"/>
  <sheetViews>
    <sheetView topLeftCell="B103" workbookViewId="0">
      <selection activeCell="O129" sqref="O129"/>
    </sheetView>
  </sheetViews>
  <sheetFormatPr defaultColWidth="9.1328125" defaultRowHeight="12.75" x14ac:dyDescent="0.35"/>
  <cols>
    <col min="1" max="1" width="47.59765625" style="166" customWidth="1"/>
    <col min="2" max="2" width="37" style="166" customWidth="1"/>
    <col min="3" max="3" width="12.265625" style="166" customWidth="1"/>
    <col min="4" max="4" width="14.265625" style="152" customWidth="1"/>
    <col min="5" max="5" width="16.3984375" style="150" customWidth="1"/>
    <col min="6" max="6" width="21.86328125" style="150" customWidth="1"/>
    <col min="7" max="7" width="14.265625" style="150" customWidth="1"/>
    <col min="8" max="8" width="12.73046875" style="150" customWidth="1"/>
    <col min="9" max="12" width="9.1328125" style="150"/>
    <col min="13" max="13" width="10.1328125" style="150" customWidth="1"/>
    <col min="14" max="14" width="14.265625" style="150" customWidth="1"/>
    <col min="15" max="15" width="10.1328125" style="150" customWidth="1"/>
    <col min="16" max="16384" width="9.1328125" style="150"/>
  </cols>
  <sheetData>
    <row r="1" spans="1:9" ht="13.15" x14ac:dyDescent="0.4">
      <c r="A1" s="230" t="s">
        <v>148</v>
      </c>
      <c r="B1" s="230" t="s">
        <v>212</v>
      </c>
      <c r="C1" s="230" t="s">
        <v>213</v>
      </c>
      <c r="D1" s="230" t="s">
        <v>214</v>
      </c>
      <c r="E1" s="230" t="s">
        <v>215</v>
      </c>
      <c r="F1" s="231" t="s">
        <v>216</v>
      </c>
      <c r="G1" s="231" t="s">
        <v>217</v>
      </c>
      <c r="H1" s="231" t="s">
        <v>218</v>
      </c>
      <c r="I1" s="232"/>
    </row>
    <row r="2" spans="1:9" x14ac:dyDescent="0.35">
      <c r="A2" s="282" t="s">
        <v>77</v>
      </c>
      <c r="B2" s="167" t="s">
        <v>219</v>
      </c>
      <c r="C2" s="169">
        <f t="shared" ref="C2:C32" si="0">LOOKUP($A2,$A$114:$A$144,$O$114:$O$144)</f>
        <v>11.25</v>
      </c>
      <c r="D2" s="169">
        <f t="shared" ref="D2:D32" si="1">LOOKUP($A2,$A$114:$A$144,$M$114:$M$144)</f>
        <v>5828.54</v>
      </c>
      <c r="E2" s="253">
        <f t="shared" ref="E2:E32" si="2">LOOKUP($A2,$A$114:$A$144,$N$114:$N$144)</f>
        <v>15</v>
      </c>
      <c r="F2" s="168">
        <f>LOOKUP($A2,$A$44:$A$74,$B$44:$B$74)</f>
        <v>0.56525668835864062</v>
      </c>
      <c r="G2" s="253">
        <f>LOOKUP($A2,$A$44:$A$74,$E$44:$E$74)</f>
        <v>2</v>
      </c>
      <c r="H2" s="253">
        <f>LOOKUP($A2,$A$44:$A$74,$F$44:$F$74)</f>
        <v>6</v>
      </c>
      <c r="I2" s="281"/>
    </row>
    <row r="3" spans="1:9" x14ac:dyDescent="0.35">
      <c r="A3" s="282" t="s">
        <v>56</v>
      </c>
      <c r="B3" s="167" t="s">
        <v>219</v>
      </c>
      <c r="C3" s="169">
        <f t="shared" si="0"/>
        <v>82.5</v>
      </c>
      <c r="D3" s="169">
        <f t="shared" si="1"/>
        <v>80464.599999999991</v>
      </c>
      <c r="E3" s="253">
        <f t="shared" si="2"/>
        <v>15</v>
      </c>
      <c r="F3" s="168">
        <f t="shared" ref="F3:F32" si="3">LOOKUP($A3,$A$44:$A$74,$B$44:$B$74)</f>
        <v>0.48879248011569054</v>
      </c>
      <c r="G3" s="253">
        <f t="shared" ref="G3:G32" si="4">LOOKUP($A3,$A$44:$A$74,$E$44:$E$74)</f>
        <v>3</v>
      </c>
      <c r="H3" s="253">
        <f t="shared" ref="H3:H32" si="5">LOOKUP($A3,$A$44:$A$74,$F$44:$F$74)</f>
        <v>10</v>
      </c>
      <c r="I3" s="281"/>
    </row>
    <row r="4" spans="1:9" x14ac:dyDescent="0.35">
      <c r="A4" s="282" t="s">
        <v>69</v>
      </c>
      <c r="B4" s="167" t="s">
        <v>220</v>
      </c>
      <c r="C4" s="169">
        <f t="shared" si="0"/>
        <v>7.5</v>
      </c>
      <c r="D4" s="169">
        <f t="shared" si="1"/>
        <v>7736.9999999999991</v>
      </c>
      <c r="E4" s="253">
        <f t="shared" si="2"/>
        <v>15</v>
      </c>
      <c r="F4" s="168">
        <f t="shared" si="3"/>
        <v>0.44649313087490961</v>
      </c>
      <c r="G4" s="253">
        <f t="shared" si="4"/>
        <v>4</v>
      </c>
      <c r="H4" s="253">
        <f t="shared" si="5"/>
        <v>12</v>
      </c>
      <c r="I4" s="281"/>
    </row>
    <row r="5" spans="1:9" x14ac:dyDescent="0.35">
      <c r="A5" s="282" t="s">
        <v>53</v>
      </c>
      <c r="B5" s="167" t="s">
        <v>219</v>
      </c>
      <c r="C5" s="169">
        <f t="shared" si="0"/>
        <v>240</v>
      </c>
      <c r="D5" s="169">
        <f t="shared" si="1"/>
        <v>200054.39999999999</v>
      </c>
      <c r="E5" s="253">
        <f t="shared" si="2"/>
        <v>15</v>
      </c>
      <c r="F5" s="168">
        <f t="shared" si="3"/>
        <v>0.24566160520607375</v>
      </c>
      <c r="G5" s="253">
        <f t="shared" si="4"/>
        <v>8</v>
      </c>
      <c r="H5" s="253">
        <f t="shared" si="5"/>
        <v>29</v>
      </c>
      <c r="I5" s="281"/>
    </row>
    <row r="6" spans="1:9" x14ac:dyDescent="0.35">
      <c r="A6" s="282" t="s">
        <v>79</v>
      </c>
      <c r="B6" s="167" t="s">
        <v>219</v>
      </c>
      <c r="C6" s="169">
        <f t="shared" si="0"/>
        <v>10.5</v>
      </c>
      <c r="D6" s="169">
        <f t="shared" si="1"/>
        <v>11331.8</v>
      </c>
      <c r="E6" s="253">
        <f t="shared" si="2"/>
        <v>15</v>
      </c>
      <c r="F6" s="168">
        <f t="shared" si="3"/>
        <v>0.32248734634851767</v>
      </c>
      <c r="G6" s="253">
        <f t="shared" si="4"/>
        <v>6</v>
      </c>
      <c r="H6" s="253">
        <f t="shared" si="5"/>
        <v>24</v>
      </c>
      <c r="I6" s="281"/>
    </row>
    <row r="7" spans="1:9" x14ac:dyDescent="0.35">
      <c r="A7" s="282" t="s">
        <v>70</v>
      </c>
      <c r="B7" s="167" t="s">
        <v>221</v>
      </c>
      <c r="C7" s="169">
        <f t="shared" si="0"/>
        <v>0</v>
      </c>
      <c r="D7" s="169">
        <f t="shared" si="1"/>
        <v>0</v>
      </c>
      <c r="E7" s="253">
        <f t="shared" si="2"/>
        <v>15</v>
      </c>
      <c r="F7" s="168">
        <f t="shared" si="3"/>
        <v>0.39614967462039041</v>
      </c>
      <c r="G7" s="253">
        <f t="shared" si="4"/>
        <v>4</v>
      </c>
      <c r="H7" s="253">
        <f t="shared" si="5"/>
        <v>20</v>
      </c>
      <c r="I7" s="281"/>
    </row>
    <row r="8" spans="1:9" x14ac:dyDescent="0.35">
      <c r="A8" s="282" t="s">
        <v>78</v>
      </c>
      <c r="B8" s="167" t="s">
        <v>219</v>
      </c>
      <c r="C8" s="169">
        <f t="shared" si="0"/>
        <v>18</v>
      </c>
      <c r="D8" s="169">
        <f t="shared" si="1"/>
        <v>15680.319999999998</v>
      </c>
      <c r="E8" s="253">
        <f t="shared" si="2"/>
        <v>15</v>
      </c>
      <c r="F8" s="168">
        <f t="shared" si="3"/>
        <v>0.21484092552422268</v>
      </c>
      <c r="G8" s="253">
        <f t="shared" si="4"/>
        <v>9</v>
      </c>
      <c r="H8" s="253">
        <f t="shared" si="5"/>
        <v>30</v>
      </c>
      <c r="I8" s="281"/>
    </row>
    <row r="9" spans="1:9" x14ac:dyDescent="0.35">
      <c r="A9" s="282" t="s">
        <v>60</v>
      </c>
      <c r="B9" s="167" t="s">
        <v>219</v>
      </c>
      <c r="C9" s="169">
        <f t="shared" si="0"/>
        <v>75</v>
      </c>
      <c r="D9" s="169">
        <f t="shared" si="1"/>
        <v>63427.599999999991</v>
      </c>
      <c r="E9" s="253">
        <f t="shared" si="2"/>
        <v>15</v>
      </c>
      <c r="F9" s="168">
        <f t="shared" si="3"/>
        <v>0.59797541576283442</v>
      </c>
      <c r="G9" s="253">
        <f t="shared" si="4"/>
        <v>2</v>
      </c>
      <c r="H9" s="253">
        <f t="shared" si="5"/>
        <v>3</v>
      </c>
      <c r="I9" s="281"/>
    </row>
    <row r="10" spans="1:9" x14ac:dyDescent="0.35">
      <c r="A10" s="282" t="s">
        <v>49</v>
      </c>
      <c r="B10" s="167" t="s">
        <v>222</v>
      </c>
      <c r="C10" s="169">
        <f t="shared" si="0"/>
        <v>195</v>
      </c>
      <c r="D10" s="169">
        <f t="shared" si="1"/>
        <v>172277.19999999995</v>
      </c>
      <c r="E10" s="253">
        <f t="shared" si="2"/>
        <v>15</v>
      </c>
      <c r="F10" s="168">
        <f t="shared" si="3"/>
        <v>0.3694866232827187</v>
      </c>
      <c r="G10" s="253">
        <f t="shared" si="4"/>
        <v>5</v>
      </c>
      <c r="H10" s="253">
        <f t="shared" si="5"/>
        <v>22</v>
      </c>
      <c r="I10" s="281"/>
    </row>
    <row r="11" spans="1:9" x14ac:dyDescent="0.35">
      <c r="A11" s="282" t="s">
        <v>68</v>
      </c>
      <c r="B11" s="167" t="s">
        <v>219</v>
      </c>
      <c r="C11" s="169">
        <f t="shared" si="0"/>
        <v>14</v>
      </c>
      <c r="D11" s="169">
        <f t="shared" si="1"/>
        <v>15442.4</v>
      </c>
      <c r="E11" s="253">
        <f t="shared" si="2"/>
        <v>1</v>
      </c>
      <c r="F11" s="168">
        <f t="shared" si="3"/>
        <v>0.42136659436008672</v>
      </c>
      <c r="G11" s="253">
        <f t="shared" si="4"/>
        <v>4</v>
      </c>
      <c r="H11" s="253">
        <f t="shared" si="5"/>
        <v>18</v>
      </c>
      <c r="I11" s="281"/>
    </row>
    <row r="12" spans="1:9" x14ac:dyDescent="0.35">
      <c r="A12" s="282" t="s">
        <v>52</v>
      </c>
      <c r="B12" s="167" t="s">
        <v>219</v>
      </c>
      <c r="C12" s="169">
        <f t="shared" si="0"/>
        <v>240</v>
      </c>
      <c r="D12" s="169">
        <f t="shared" si="1"/>
        <v>200054.39999999999</v>
      </c>
      <c r="E12" s="253">
        <f t="shared" si="2"/>
        <v>15</v>
      </c>
      <c r="F12" s="168">
        <f t="shared" si="3"/>
        <v>0.30892986261749816</v>
      </c>
      <c r="G12" s="253">
        <f t="shared" si="4"/>
        <v>6</v>
      </c>
      <c r="H12" s="253">
        <f t="shared" si="5"/>
        <v>26</v>
      </c>
      <c r="I12" s="281"/>
    </row>
    <row r="13" spans="1:9" x14ac:dyDescent="0.35">
      <c r="A13" s="282" t="s">
        <v>62</v>
      </c>
      <c r="B13" s="167" t="s">
        <v>219</v>
      </c>
      <c r="C13" s="169">
        <f t="shared" si="0"/>
        <v>165</v>
      </c>
      <c r="D13" s="169">
        <f t="shared" si="1"/>
        <v>141929.19999999998</v>
      </c>
      <c r="E13" s="253">
        <f t="shared" si="2"/>
        <v>15</v>
      </c>
      <c r="F13" s="168">
        <f t="shared" si="3"/>
        <v>0.43872017353579174</v>
      </c>
      <c r="G13" s="253">
        <f t="shared" si="4"/>
        <v>4</v>
      </c>
      <c r="H13" s="253">
        <f t="shared" si="5"/>
        <v>14</v>
      </c>
      <c r="I13" s="281"/>
    </row>
    <row r="14" spans="1:9" x14ac:dyDescent="0.35">
      <c r="A14" s="282" t="s">
        <v>74</v>
      </c>
      <c r="B14" s="167" t="s">
        <v>223</v>
      </c>
      <c r="C14" s="169">
        <f t="shared" si="0"/>
        <v>15</v>
      </c>
      <c r="D14" s="169">
        <f t="shared" si="1"/>
        <v>15473.999999999998</v>
      </c>
      <c r="E14" s="253">
        <f t="shared" si="2"/>
        <v>15</v>
      </c>
      <c r="F14" s="168">
        <f t="shared" si="3"/>
        <v>0.51518438177874193</v>
      </c>
      <c r="G14" s="253">
        <f t="shared" si="4"/>
        <v>3</v>
      </c>
      <c r="H14" s="253">
        <f t="shared" si="5"/>
        <v>8</v>
      </c>
      <c r="I14" s="281"/>
    </row>
    <row r="15" spans="1:9" x14ac:dyDescent="0.35">
      <c r="A15" s="282" t="s">
        <v>73</v>
      </c>
      <c r="B15" s="167" t="s">
        <v>223</v>
      </c>
      <c r="C15" s="169">
        <f t="shared" si="0"/>
        <v>5.1999999999999993</v>
      </c>
      <c r="D15" s="169">
        <f t="shared" si="1"/>
        <v>5364.3199999999979</v>
      </c>
      <c r="E15" s="253">
        <f t="shared" si="2"/>
        <v>1</v>
      </c>
      <c r="F15" s="168">
        <f t="shared" si="3"/>
        <v>0.44486623282718724</v>
      </c>
      <c r="G15" s="253">
        <f t="shared" si="4"/>
        <v>4</v>
      </c>
      <c r="H15" s="253">
        <f t="shared" si="5"/>
        <v>13</v>
      </c>
      <c r="I15" s="281"/>
    </row>
    <row r="16" spans="1:9" x14ac:dyDescent="0.35">
      <c r="A16" s="282" t="s">
        <v>63</v>
      </c>
      <c r="B16" s="167" t="s">
        <v>219</v>
      </c>
      <c r="C16" s="169">
        <f t="shared" si="0"/>
        <v>43.500000000000007</v>
      </c>
      <c r="D16" s="169">
        <f t="shared" si="1"/>
        <v>31032.199999999997</v>
      </c>
      <c r="E16" s="253">
        <f t="shared" si="2"/>
        <v>15</v>
      </c>
      <c r="F16" s="168">
        <f t="shared" si="3"/>
        <v>0.42154736080983368</v>
      </c>
      <c r="G16" s="253">
        <f t="shared" si="4"/>
        <v>4</v>
      </c>
      <c r="H16" s="253">
        <f t="shared" si="5"/>
        <v>17</v>
      </c>
      <c r="I16" s="281"/>
    </row>
    <row r="17" spans="1:11" x14ac:dyDescent="0.35">
      <c r="A17" s="282" t="s">
        <v>67</v>
      </c>
      <c r="B17" s="167" t="s">
        <v>223</v>
      </c>
      <c r="C17" s="169">
        <f t="shared" si="0"/>
        <v>57</v>
      </c>
      <c r="D17" s="169">
        <f t="shared" si="1"/>
        <v>44358.8</v>
      </c>
      <c r="E17" s="253">
        <f t="shared" si="2"/>
        <v>15</v>
      </c>
      <c r="F17" s="168">
        <f t="shared" si="3"/>
        <v>0.37075198843094714</v>
      </c>
      <c r="G17" s="253">
        <f t="shared" si="4"/>
        <v>5</v>
      </c>
      <c r="H17" s="253">
        <f t="shared" si="5"/>
        <v>21</v>
      </c>
      <c r="I17" s="281"/>
    </row>
    <row r="18" spans="1:11" x14ac:dyDescent="0.35">
      <c r="A18" s="282" t="s">
        <v>72</v>
      </c>
      <c r="B18" s="167" t="s">
        <v>222</v>
      </c>
      <c r="C18" s="169">
        <f t="shared" si="0"/>
        <v>0</v>
      </c>
      <c r="D18" s="169">
        <f t="shared" si="1"/>
        <v>0</v>
      </c>
      <c r="E18" s="253">
        <f t="shared" si="2"/>
        <v>15</v>
      </c>
      <c r="F18" s="168">
        <f t="shared" si="3"/>
        <v>0.33920824295010843</v>
      </c>
      <c r="G18" s="253">
        <f t="shared" si="4"/>
        <v>6</v>
      </c>
      <c r="H18" s="253">
        <f t="shared" si="5"/>
        <v>23</v>
      </c>
      <c r="I18" s="281"/>
    </row>
    <row r="19" spans="1:11" x14ac:dyDescent="0.35">
      <c r="A19" s="282" t="s">
        <v>71</v>
      </c>
      <c r="B19" s="167" t="s">
        <v>224</v>
      </c>
      <c r="C19" s="169">
        <f t="shared" si="0"/>
        <v>0</v>
      </c>
      <c r="D19" s="169">
        <f t="shared" si="1"/>
        <v>0</v>
      </c>
      <c r="E19" s="253">
        <f t="shared" si="2"/>
        <v>15</v>
      </c>
      <c r="F19" s="168">
        <f t="shared" si="3"/>
        <v>0.43383947939262468</v>
      </c>
      <c r="G19" s="253">
        <f t="shared" si="4"/>
        <v>4</v>
      </c>
      <c r="H19" s="253">
        <f t="shared" si="5"/>
        <v>15</v>
      </c>
      <c r="I19" s="281"/>
    </row>
    <row r="20" spans="1:11" x14ac:dyDescent="0.35">
      <c r="A20" s="282" t="s">
        <v>51</v>
      </c>
      <c r="B20" s="167" t="s">
        <v>225</v>
      </c>
      <c r="C20" s="169">
        <f t="shared" si="0"/>
        <v>82.5</v>
      </c>
      <c r="D20" s="169">
        <f t="shared" si="1"/>
        <v>71564.599999999991</v>
      </c>
      <c r="E20" s="253">
        <f t="shared" si="2"/>
        <v>15</v>
      </c>
      <c r="F20" s="168">
        <f t="shared" si="3"/>
        <v>0.59544468546637741</v>
      </c>
      <c r="G20" s="253">
        <f t="shared" si="4"/>
        <v>2</v>
      </c>
      <c r="H20" s="253">
        <f t="shared" si="5"/>
        <v>4</v>
      </c>
      <c r="I20" s="281"/>
    </row>
    <row r="21" spans="1:11" x14ac:dyDescent="0.35">
      <c r="A21" s="282" t="s">
        <v>65</v>
      </c>
      <c r="B21" s="167" t="s">
        <v>226</v>
      </c>
      <c r="C21" s="169">
        <f t="shared" si="0"/>
        <v>720</v>
      </c>
      <c r="D21" s="169">
        <f t="shared" si="1"/>
        <v>473904</v>
      </c>
      <c r="E21" s="253">
        <f t="shared" si="2"/>
        <v>15</v>
      </c>
      <c r="F21" s="168">
        <f t="shared" si="3"/>
        <v>0.17227042660882139</v>
      </c>
      <c r="G21" s="253">
        <f t="shared" si="4"/>
        <v>10</v>
      </c>
      <c r="H21" s="253">
        <f t="shared" si="5"/>
        <v>31</v>
      </c>
      <c r="I21" s="281"/>
    </row>
    <row r="22" spans="1:11" x14ac:dyDescent="0.35">
      <c r="A22" s="282" t="s">
        <v>66</v>
      </c>
      <c r="B22" s="167" t="s">
        <v>219</v>
      </c>
      <c r="C22" s="169">
        <f t="shared" si="0"/>
        <v>13.5</v>
      </c>
      <c r="D22" s="169">
        <f t="shared" si="1"/>
        <v>10315.999999999998</v>
      </c>
      <c r="E22" s="253">
        <f t="shared" si="2"/>
        <v>15</v>
      </c>
      <c r="F22" s="168">
        <f t="shared" si="3"/>
        <v>0.3159797541576283</v>
      </c>
      <c r="G22" s="253">
        <f t="shared" si="4"/>
        <v>6</v>
      </c>
      <c r="H22" s="253">
        <f t="shared" si="5"/>
        <v>25</v>
      </c>
      <c r="I22" s="281"/>
    </row>
    <row r="23" spans="1:11" x14ac:dyDescent="0.35">
      <c r="A23" s="282" t="s">
        <v>75</v>
      </c>
      <c r="B23" s="167" t="s">
        <v>219</v>
      </c>
      <c r="C23" s="169">
        <f t="shared" si="0"/>
        <v>22.5</v>
      </c>
      <c r="D23" s="169">
        <f t="shared" si="1"/>
        <v>18878.28</v>
      </c>
      <c r="E23" s="253">
        <f t="shared" si="2"/>
        <v>15</v>
      </c>
      <c r="F23" s="168">
        <f t="shared" si="3"/>
        <v>0.70046999276934196</v>
      </c>
      <c r="G23" s="253">
        <f t="shared" si="4"/>
        <v>1</v>
      </c>
      <c r="H23" s="253">
        <f t="shared" si="5"/>
        <v>1</v>
      </c>
      <c r="I23" s="281"/>
    </row>
    <row r="24" spans="1:11" x14ac:dyDescent="0.35">
      <c r="A24" s="282" t="s">
        <v>54</v>
      </c>
      <c r="B24" s="167" t="s">
        <v>219</v>
      </c>
      <c r="C24" s="169">
        <f t="shared" si="0"/>
        <v>90</v>
      </c>
      <c r="D24" s="169">
        <f t="shared" si="1"/>
        <v>80980.399999999994</v>
      </c>
      <c r="E24" s="253">
        <f t="shared" si="2"/>
        <v>15</v>
      </c>
      <c r="F24" s="168">
        <f t="shared" si="3"/>
        <v>0.29067245119305857</v>
      </c>
      <c r="G24" s="253">
        <f t="shared" si="4"/>
        <v>7</v>
      </c>
      <c r="H24" s="253">
        <f t="shared" si="5"/>
        <v>28</v>
      </c>
      <c r="I24" s="281"/>
    </row>
    <row r="25" spans="1:11" x14ac:dyDescent="0.35">
      <c r="A25" s="282" t="s">
        <v>64</v>
      </c>
      <c r="B25" s="167" t="s">
        <v>227</v>
      </c>
      <c r="C25" s="169">
        <f t="shared" si="0"/>
        <v>53</v>
      </c>
      <c r="D25" s="169">
        <f t="shared" si="1"/>
        <v>58474.799999999988</v>
      </c>
      <c r="E25" s="253">
        <f t="shared" si="2"/>
        <v>1</v>
      </c>
      <c r="F25" s="168">
        <f t="shared" si="3"/>
        <v>0.40672451193058567</v>
      </c>
      <c r="G25" s="253">
        <f t="shared" si="4"/>
        <v>4</v>
      </c>
      <c r="H25" s="253">
        <f t="shared" si="5"/>
        <v>19</v>
      </c>
      <c r="I25" s="281"/>
    </row>
    <row r="26" spans="1:11" x14ac:dyDescent="0.35">
      <c r="A26" s="282" t="s">
        <v>55</v>
      </c>
      <c r="B26" s="167" t="s">
        <v>219</v>
      </c>
      <c r="C26" s="169">
        <f t="shared" si="0"/>
        <v>82.5</v>
      </c>
      <c r="D26" s="169">
        <f t="shared" si="1"/>
        <v>80464.599999999991</v>
      </c>
      <c r="E26" s="253">
        <f t="shared" si="2"/>
        <v>15</v>
      </c>
      <c r="F26" s="168">
        <f t="shared" si="3"/>
        <v>0.30694143167028198</v>
      </c>
      <c r="G26" s="253">
        <f t="shared" si="4"/>
        <v>6</v>
      </c>
      <c r="H26" s="253">
        <f t="shared" si="5"/>
        <v>27</v>
      </c>
      <c r="I26" s="281"/>
    </row>
    <row r="27" spans="1:11" x14ac:dyDescent="0.35">
      <c r="A27" s="282" t="s">
        <v>57</v>
      </c>
      <c r="B27" s="167" t="s">
        <v>219</v>
      </c>
      <c r="C27" s="169">
        <f t="shared" si="0"/>
        <v>82.5</v>
      </c>
      <c r="D27" s="169">
        <f t="shared" si="1"/>
        <v>80464.599999999991</v>
      </c>
      <c r="E27" s="253">
        <f t="shared" si="2"/>
        <v>15</v>
      </c>
      <c r="F27" s="168">
        <f t="shared" si="3"/>
        <v>0.46113521330441071</v>
      </c>
      <c r="G27" s="253">
        <f t="shared" si="4"/>
        <v>4</v>
      </c>
      <c r="H27" s="253">
        <f t="shared" si="5"/>
        <v>11</v>
      </c>
      <c r="I27" s="281"/>
    </row>
    <row r="28" spans="1:11" x14ac:dyDescent="0.35">
      <c r="A28" s="282" t="s">
        <v>58</v>
      </c>
      <c r="B28" s="167" t="s">
        <v>219</v>
      </c>
      <c r="C28" s="169">
        <f t="shared" si="0"/>
        <v>97.5</v>
      </c>
      <c r="D28" s="169">
        <f t="shared" si="1"/>
        <v>95938.599999999977</v>
      </c>
      <c r="E28" s="253">
        <f t="shared" si="2"/>
        <v>15</v>
      </c>
      <c r="F28" s="168">
        <f t="shared" si="3"/>
        <v>0.43022415039768613</v>
      </c>
      <c r="G28" s="253">
        <f t="shared" si="4"/>
        <v>4</v>
      </c>
      <c r="H28" s="253">
        <f t="shared" si="5"/>
        <v>16</v>
      </c>
      <c r="I28" s="281"/>
    </row>
    <row r="29" spans="1:11" x14ac:dyDescent="0.35">
      <c r="A29" s="282" t="s">
        <v>76</v>
      </c>
      <c r="B29" s="167" t="s">
        <v>219</v>
      </c>
      <c r="C29" s="169">
        <f t="shared" si="0"/>
        <v>22.5</v>
      </c>
      <c r="D29" s="169">
        <f t="shared" si="1"/>
        <v>18878.28</v>
      </c>
      <c r="E29" s="253">
        <f t="shared" si="2"/>
        <v>15</v>
      </c>
      <c r="F29" s="168">
        <f t="shared" si="3"/>
        <v>0.68474331164135938</v>
      </c>
      <c r="G29" s="253">
        <f t="shared" si="4"/>
        <v>1</v>
      </c>
      <c r="H29" s="253">
        <f t="shared" si="5"/>
        <v>2</v>
      </c>
      <c r="I29" s="281"/>
    </row>
    <row r="30" spans="1:11" x14ac:dyDescent="0.35">
      <c r="A30" s="282" t="s">
        <v>50</v>
      </c>
      <c r="B30" s="167" t="s">
        <v>228</v>
      </c>
      <c r="C30" s="169">
        <f t="shared" si="0"/>
        <v>82.5</v>
      </c>
      <c r="D30" s="169">
        <f t="shared" si="1"/>
        <v>80464.599999999991</v>
      </c>
      <c r="E30" s="253">
        <f t="shared" si="2"/>
        <v>15</v>
      </c>
      <c r="F30" s="168">
        <f t="shared" si="3"/>
        <v>0.58622559652928419</v>
      </c>
      <c r="G30" s="253">
        <f t="shared" si="4"/>
        <v>2</v>
      </c>
      <c r="H30" s="253">
        <f t="shared" si="5"/>
        <v>5</v>
      </c>
      <c r="I30" s="281"/>
    </row>
    <row r="31" spans="1:11" x14ac:dyDescent="0.35">
      <c r="A31" s="282" t="s">
        <v>61</v>
      </c>
      <c r="B31" s="167" t="s">
        <v>219</v>
      </c>
      <c r="C31" s="169">
        <f t="shared" si="0"/>
        <v>35</v>
      </c>
      <c r="D31" s="169">
        <f t="shared" si="1"/>
        <v>35779.599999999999</v>
      </c>
      <c r="E31" s="253">
        <f t="shared" si="2"/>
        <v>5</v>
      </c>
      <c r="F31" s="168">
        <f t="shared" si="3"/>
        <v>0.512292118582791</v>
      </c>
      <c r="G31" s="253">
        <f t="shared" si="4"/>
        <v>3</v>
      </c>
      <c r="H31" s="253">
        <f t="shared" si="5"/>
        <v>9</v>
      </c>
      <c r="I31" s="281"/>
      <c r="J31" s="267"/>
      <c r="K31" s="267"/>
    </row>
    <row r="32" spans="1:11" x14ac:dyDescent="0.35">
      <c r="A32" s="282" t="s">
        <v>59</v>
      </c>
      <c r="B32" s="167" t="s">
        <v>219</v>
      </c>
      <c r="C32" s="169">
        <f t="shared" si="0"/>
        <v>120</v>
      </c>
      <c r="D32" s="169">
        <f t="shared" si="1"/>
        <v>119149.6</v>
      </c>
      <c r="E32" s="253">
        <f t="shared" si="2"/>
        <v>15</v>
      </c>
      <c r="F32" s="168">
        <f t="shared" si="3"/>
        <v>0.53579175704989157</v>
      </c>
      <c r="G32" s="253">
        <f t="shared" si="4"/>
        <v>3</v>
      </c>
      <c r="H32" s="253">
        <f t="shared" si="5"/>
        <v>7</v>
      </c>
      <c r="I32" s="281"/>
    </row>
    <row r="33" spans="1:13" x14ac:dyDescent="0.35">
      <c r="A33" s="167"/>
      <c r="B33" s="167"/>
      <c r="C33" s="236"/>
      <c r="D33" s="169"/>
      <c r="E33" s="253"/>
      <c r="F33" s="168"/>
      <c r="G33" s="253"/>
      <c r="H33" s="253"/>
      <c r="I33" s="152"/>
    </row>
    <row r="34" spans="1:13" x14ac:dyDescent="0.35">
      <c r="A34" s="167"/>
      <c r="B34" s="167"/>
      <c r="D34" s="166"/>
      <c r="E34" s="168"/>
      <c r="F34" s="152"/>
    </row>
    <row r="35" spans="1:13" ht="13.15" x14ac:dyDescent="0.4">
      <c r="A35" s="266" t="s">
        <v>229</v>
      </c>
      <c r="B35" s="266"/>
      <c r="D35" s="166"/>
      <c r="E35" s="168"/>
      <c r="F35" s="152"/>
    </row>
    <row r="36" spans="1:13" x14ac:dyDescent="0.35">
      <c r="A36" s="167"/>
      <c r="B36" s="167"/>
      <c r="D36" s="166"/>
      <c r="E36" s="168"/>
      <c r="F36" s="152"/>
    </row>
    <row r="37" spans="1:13" x14ac:dyDescent="0.35">
      <c r="A37" s="167"/>
      <c r="B37" s="167"/>
      <c r="D37" s="166"/>
      <c r="E37" s="168"/>
      <c r="F37" s="152"/>
    </row>
    <row r="40" spans="1:13" ht="13.15" x14ac:dyDescent="0.4">
      <c r="A40" s="360" t="s">
        <v>230</v>
      </c>
      <c r="B40" s="360"/>
      <c r="C40" s="360"/>
      <c r="D40" s="360"/>
      <c r="E40" s="360"/>
      <c r="F40" s="360"/>
      <c r="G40" s="360"/>
      <c r="H40" s="360"/>
      <c r="I40" s="360"/>
      <c r="J40" s="360"/>
      <c r="K40" s="360"/>
      <c r="L40" s="360"/>
      <c r="M40" s="360"/>
    </row>
    <row r="41" spans="1:13" s="267" customFormat="1" ht="13.15" x14ac:dyDescent="0.4">
      <c r="A41" s="279"/>
      <c r="B41" s="279"/>
      <c r="C41" s="279"/>
      <c r="D41" s="279"/>
      <c r="E41" s="279"/>
      <c r="F41" s="279"/>
      <c r="G41" s="279"/>
      <c r="H41" s="279"/>
      <c r="I41" s="279"/>
      <c r="J41" s="279"/>
      <c r="K41" s="279"/>
      <c r="L41" s="279"/>
      <c r="M41" s="279"/>
    </row>
    <row r="42" spans="1:13" s="267" customFormat="1" ht="13.15" x14ac:dyDescent="0.4">
      <c r="A42" s="361" t="s">
        <v>231</v>
      </c>
      <c r="B42" s="361"/>
      <c r="C42" s="361"/>
      <c r="D42" s="361"/>
      <c r="E42" s="361"/>
      <c r="F42" s="361"/>
      <c r="G42" s="279"/>
      <c r="H42" s="279"/>
      <c r="I42" s="279"/>
      <c r="J42" s="279"/>
      <c r="K42" s="279"/>
      <c r="L42" s="279"/>
      <c r="M42" s="279"/>
    </row>
    <row r="43" spans="1:13" s="267" customFormat="1" ht="13.15" x14ac:dyDescent="0.4">
      <c r="A43" s="279" t="s">
        <v>88</v>
      </c>
      <c r="B43" s="279" t="s">
        <v>85</v>
      </c>
      <c r="C43" s="279" t="s">
        <v>89</v>
      </c>
      <c r="D43" s="279" t="s">
        <v>90</v>
      </c>
      <c r="E43" s="279" t="s">
        <v>91</v>
      </c>
      <c r="F43" s="279" t="s">
        <v>87</v>
      </c>
      <c r="G43" s="279"/>
      <c r="H43" s="279"/>
      <c r="I43" s="279"/>
      <c r="J43" s="279"/>
      <c r="K43" s="279"/>
      <c r="L43" s="279"/>
      <c r="M43" s="279"/>
    </row>
    <row r="44" spans="1:13" s="267" customFormat="1" ht="13.15" x14ac:dyDescent="0.4">
      <c r="A44" s="281" t="s">
        <v>77</v>
      </c>
      <c r="B44" s="280">
        <v>0.56525668835864062</v>
      </c>
      <c r="C44" s="280">
        <v>2.0968908170643563E-2</v>
      </c>
      <c r="D44" s="280">
        <v>3.5769349367869316</v>
      </c>
      <c r="E44" s="280">
        <v>2</v>
      </c>
      <c r="F44" s="280">
        <v>6</v>
      </c>
      <c r="G44" s="279"/>
      <c r="H44" s="279"/>
      <c r="I44" s="279"/>
      <c r="J44" s="279"/>
      <c r="K44" s="279"/>
      <c r="L44" s="279"/>
      <c r="M44" s="279"/>
    </row>
    <row r="45" spans="1:13" s="267" customFormat="1" ht="13.15" x14ac:dyDescent="0.4">
      <c r="A45" s="281" t="s">
        <v>56</v>
      </c>
      <c r="B45" s="280">
        <v>0.48879248011569054</v>
      </c>
      <c r="C45" s="280">
        <v>2.3499638467100459E-2</v>
      </c>
      <c r="D45" s="280">
        <v>4.5871559633027434</v>
      </c>
      <c r="E45" s="280">
        <v>3</v>
      </c>
      <c r="F45" s="280">
        <v>10</v>
      </c>
      <c r="G45" s="279"/>
      <c r="H45" s="279"/>
      <c r="I45" s="279"/>
      <c r="J45" s="279"/>
      <c r="K45" s="279"/>
      <c r="L45" s="279"/>
      <c r="M45" s="279"/>
    </row>
    <row r="46" spans="1:13" s="267" customFormat="1" ht="13.15" x14ac:dyDescent="0.4">
      <c r="A46" s="281" t="s">
        <v>69</v>
      </c>
      <c r="B46" s="280">
        <v>0.44649313087490961</v>
      </c>
      <c r="C46" s="280">
        <v>1.4642082429501102E-2</v>
      </c>
      <c r="D46" s="280">
        <v>3.175225401803218</v>
      </c>
      <c r="E46" s="280">
        <v>4</v>
      </c>
      <c r="F46" s="280">
        <v>12</v>
      </c>
      <c r="G46" s="279"/>
      <c r="H46" s="279"/>
      <c r="I46" s="279"/>
      <c r="J46" s="279"/>
      <c r="K46" s="279"/>
      <c r="L46" s="279"/>
      <c r="M46" s="279"/>
    </row>
    <row r="47" spans="1:13" s="267" customFormat="1" ht="13.15" x14ac:dyDescent="0.4">
      <c r="A47" s="281" t="s">
        <v>53</v>
      </c>
      <c r="B47" s="280">
        <v>0.24566160520607375</v>
      </c>
      <c r="C47" s="280">
        <v>4.5010845986984821E-2</v>
      </c>
      <c r="D47" s="280">
        <v>15.485074626865675</v>
      </c>
      <c r="E47" s="280">
        <v>8</v>
      </c>
      <c r="F47" s="280">
        <v>29</v>
      </c>
      <c r="G47" s="279"/>
      <c r="H47" s="279"/>
      <c r="I47" s="279"/>
      <c r="J47" s="279"/>
      <c r="K47" s="279"/>
      <c r="L47" s="279"/>
      <c r="M47" s="279"/>
    </row>
    <row r="48" spans="1:13" s="267" customFormat="1" ht="13.15" x14ac:dyDescent="0.4">
      <c r="A48" s="281" t="s">
        <v>79</v>
      </c>
      <c r="B48" s="280">
        <v>0.32248734634851767</v>
      </c>
      <c r="C48" s="280">
        <v>1.6720896601590762E-2</v>
      </c>
      <c r="D48" s="280">
        <v>4.9293898214761578</v>
      </c>
      <c r="E48" s="280">
        <v>6</v>
      </c>
      <c r="F48" s="280">
        <v>24</v>
      </c>
      <c r="G48" s="279"/>
      <c r="H48" s="279"/>
      <c r="I48" s="279"/>
      <c r="J48" s="279"/>
      <c r="K48" s="279"/>
      <c r="L48" s="279"/>
      <c r="M48" s="279"/>
    </row>
    <row r="49" spans="1:13" s="267" customFormat="1" ht="13.15" x14ac:dyDescent="0.4">
      <c r="A49" s="281" t="s">
        <v>70</v>
      </c>
      <c r="B49" s="280">
        <v>0.39614967462039041</v>
      </c>
      <c r="C49" s="280">
        <v>1.0574837310195262E-2</v>
      </c>
      <c r="D49" s="280">
        <v>2.6000000000000085</v>
      </c>
      <c r="E49" s="280">
        <v>4</v>
      </c>
      <c r="F49" s="280">
        <v>20</v>
      </c>
      <c r="G49" s="279"/>
      <c r="H49" s="279"/>
      <c r="I49" s="279"/>
      <c r="J49" s="279"/>
      <c r="K49" s="279"/>
      <c r="L49" s="279"/>
      <c r="M49" s="279"/>
    </row>
    <row r="50" spans="1:13" s="267" customFormat="1" ht="13.15" x14ac:dyDescent="0.4">
      <c r="A50" s="281" t="s">
        <v>78</v>
      </c>
      <c r="B50" s="280">
        <v>0.21484092552422268</v>
      </c>
      <c r="C50" s="280">
        <v>3.0820679681851065E-2</v>
      </c>
      <c r="D50" s="280">
        <v>12.545989698307586</v>
      </c>
      <c r="E50" s="280">
        <v>9</v>
      </c>
      <c r="F50" s="280">
        <v>30</v>
      </c>
      <c r="G50" s="279"/>
      <c r="H50" s="279"/>
      <c r="I50" s="279"/>
      <c r="J50" s="279"/>
      <c r="K50" s="279"/>
      <c r="L50" s="279"/>
      <c r="M50" s="279"/>
    </row>
    <row r="51" spans="1:13" s="267" customFormat="1" ht="13.15" x14ac:dyDescent="0.4">
      <c r="A51" s="281" t="s">
        <v>60</v>
      </c>
      <c r="B51" s="280">
        <v>0.59797541576283442</v>
      </c>
      <c r="C51" s="280">
        <v>8.6767895878524959E-2</v>
      </c>
      <c r="D51" s="280">
        <v>12.671594508975714</v>
      </c>
      <c r="E51" s="280">
        <v>2</v>
      </c>
      <c r="F51" s="280">
        <v>3</v>
      </c>
      <c r="G51" s="279"/>
      <c r="H51" s="279"/>
      <c r="I51" s="279"/>
      <c r="J51" s="279"/>
      <c r="K51" s="279"/>
      <c r="L51" s="279"/>
      <c r="M51" s="279"/>
    </row>
    <row r="52" spans="1:13" s="267" customFormat="1" ht="13.15" x14ac:dyDescent="0.4">
      <c r="A52" s="281" t="s">
        <v>49</v>
      </c>
      <c r="B52" s="280">
        <v>0.3694866232827187</v>
      </c>
      <c r="C52" s="280">
        <v>1.2653651482284478E-3</v>
      </c>
      <c r="D52" s="280">
        <v>0.34129692832763409</v>
      </c>
      <c r="E52" s="280">
        <v>5</v>
      </c>
      <c r="F52" s="280">
        <v>22</v>
      </c>
      <c r="G52" s="279"/>
      <c r="H52" s="279"/>
      <c r="I52" s="279"/>
      <c r="J52" s="279"/>
      <c r="K52" s="279"/>
      <c r="L52" s="279"/>
      <c r="M52" s="279"/>
    </row>
    <row r="53" spans="1:13" s="267" customFormat="1" ht="13.15" x14ac:dyDescent="0.4">
      <c r="A53" s="281" t="s">
        <v>68</v>
      </c>
      <c r="B53" s="280">
        <v>0.42136659436008672</v>
      </c>
      <c r="C53" s="280">
        <v>1.8076644974696077E-4</v>
      </c>
      <c r="D53" s="280">
        <v>4.288164665523958E-2</v>
      </c>
      <c r="E53" s="280">
        <v>4</v>
      </c>
      <c r="F53" s="280">
        <v>18</v>
      </c>
      <c r="G53" s="279"/>
      <c r="H53" s="279"/>
      <c r="I53" s="279"/>
      <c r="J53" s="279"/>
      <c r="K53" s="279"/>
      <c r="L53" s="279"/>
      <c r="M53" s="279"/>
    </row>
    <row r="54" spans="1:13" s="267" customFormat="1" ht="13.15" x14ac:dyDescent="0.4">
      <c r="A54" s="281" t="s">
        <v>52</v>
      </c>
      <c r="B54" s="280">
        <v>0.30892986261749816</v>
      </c>
      <c r="C54" s="280">
        <v>7.0498915401301376E-3</v>
      </c>
      <c r="D54" s="280">
        <v>2.2311212814645267</v>
      </c>
      <c r="E54" s="280">
        <v>6</v>
      </c>
      <c r="F54" s="280">
        <v>26</v>
      </c>
      <c r="G54" s="279"/>
      <c r="H54" s="279"/>
      <c r="I54" s="279"/>
      <c r="J54" s="279"/>
      <c r="K54" s="279"/>
      <c r="L54" s="279"/>
      <c r="M54" s="279"/>
    </row>
    <row r="55" spans="1:13" s="267" customFormat="1" ht="13.15" x14ac:dyDescent="0.4">
      <c r="A55" s="281" t="s">
        <v>62</v>
      </c>
      <c r="B55" s="280">
        <v>0.43872017353579174</v>
      </c>
      <c r="C55" s="280">
        <v>6.1460592913955003E-3</v>
      </c>
      <c r="D55" s="280">
        <v>1.3815522145469283</v>
      </c>
      <c r="E55" s="280">
        <v>4</v>
      </c>
      <c r="F55" s="280">
        <v>14</v>
      </c>
      <c r="G55" s="279"/>
      <c r="H55" s="279"/>
      <c r="I55" s="279"/>
      <c r="J55" s="279"/>
      <c r="K55" s="279"/>
      <c r="L55" s="279"/>
      <c r="M55" s="279"/>
    </row>
    <row r="56" spans="1:13" s="267" customFormat="1" ht="13.15" x14ac:dyDescent="0.4">
      <c r="A56" s="281" t="s">
        <v>74</v>
      </c>
      <c r="B56" s="280">
        <v>0.51518438177874193</v>
      </c>
      <c r="C56" s="280">
        <v>2.0607375271149642E-2</v>
      </c>
      <c r="D56" s="280">
        <v>3.84615384615384</v>
      </c>
      <c r="E56" s="280">
        <v>3</v>
      </c>
      <c r="F56" s="280">
        <v>8</v>
      </c>
      <c r="G56" s="279"/>
      <c r="H56" s="279"/>
      <c r="I56" s="279"/>
      <c r="J56" s="279"/>
      <c r="K56" s="279"/>
      <c r="L56" s="279"/>
      <c r="M56" s="279"/>
    </row>
    <row r="57" spans="1:13" s="267" customFormat="1" ht="13.15" x14ac:dyDescent="0.4">
      <c r="A57" s="281" t="s">
        <v>73</v>
      </c>
      <c r="B57" s="280">
        <v>0.44486623282718724</v>
      </c>
      <c r="C57" s="280">
        <v>1.6268980477223693E-3</v>
      </c>
      <c r="D57" s="280">
        <v>0.36437246963563352</v>
      </c>
      <c r="E57" s="280">
        <v>4</v>
      </c>
      <c r="F57" s="280">
        <v>13</v>
      </c>
      <c r="G57" s="279"/>
      <c r="H57" s="279"/>
      <c r="I57" s="279"/>
      <c r="J57" s="279"/>
      <c r="K57" s="279"/>
      <c r="L57" s="279"/>
      <c r="M57" s="279"/>
    </row>
    <row r="58" spans="1:13" s="267" customFormat="1" ht="13.15" x14ac:dyDescent="0.4">
      <c r="A58" s="281" t="s">
        <v>63</v>
      </c>
      <c r="B58" s="280">
        <v>0.42154736080983368</v>
      </c>
      <c r="C58" s="280">
        <v>8.6767895878524515E-3</v>
      </c>
      <c r="D58" s="280">
        <v>2.0168067226890662</v>
      </c>
      <c r="E58" s="280">
        <v>4</v>
      </c>
      <c r="F58" s="280">
        <v>17</v>
      </c>
      <c r="G58" s="279"/>
      <c r="H58" s="279"/>
      <c r="I58" s="279"/>
      <c r="J58" s="279"/>
      <c r="K58" s="279"/>
      <c r="L58" s="279"/>
      <c r="M58" s="279"/>
    </row>
    <row r="59" spans="1:13" s="267" customFormat="1" ht="13.15" x14ac:dyDescent="0.4">
      <c r="A59" s="281" t="s">
        <v>67</v>
      </c>
      <c r="B59" s="280">
        <v>0.37075198843094714</v>
      </c>
      <c r="C59" s="280">
        <v>2.5397686189443269E-2</v>
      </c>
      <c r="D59" s="280">
        <v>6.4111339265343457</v>
      </c>
      <c r="E59" s="280">
        <v>5</v>
      </c>
      <c r="F59" s="280">
        <v>21</v>
      </c>
      <c r="G59" s="279"/>
      <c r="H59" s="279"/>
      <c r="I59" s="279"/>
      <c r="J59" s="279"/>
      <c r="K59" s="279"/>
      <c r="L59" s="279"/>
      <c r="M59" s="279"/>
    </row>
    <row r="60" spans="1:13" s="267" customFormat="1" ht="13.15" x14ac:dyDescent="0.4">
      <c r="A60" s="281" t="s">
        <v>72</v>
      </c>
      <c r="B60" s="280">
        <v>0.33920824295010843</v>
      </c>
      <c r="C60" s="280">
        <v>3.0278380332610266E-2</v>
      </c>
      <c r="D60" s="280">
        <v>8.1947162426614479</v>
      </c>
      <c r="E60" s="280">
        <v>6</v>
      </c>
      <c r="F60" s="280">
        <v>23</v>
      </c>
      <c r="G60" s="279"/>
      <c r="H60" s="279"/>
      <c r="I60" s="279"/>
      <c r="J60" s="279"/>
      <c r="K60" s="279"/>
      <c r="L60" s="279"/>
      <c r="M60" s="279"/>
    </row>
    <row r="61" spans="1:13" s="267" customFormat="1" ht="13.15" x14ac:dyDescent="0.4">
      <c r="A61" s="281" t="s">
        <v>71</v>
      </c>
      <c r="B61" s="280">
        <v>0.43383947939262468</v>
      </c>
      <c r="C61" s="280">
        <v>4.8806941431670525E-3</v>
      </c>
      <c r="D61" s="280">
        <v>1.1124845488257162</v>
      </c>
      <c r="E61" s="280">
        <v>4</v>
      </c>
      <c r="F61" s="280">
        <v>15</v>
      </c>
      <c r="G61" s="279"/>
      <c r="H61" s="279"/>
      <c r="I61" s="279"/>
      <c r="J61" s="279"/>
      <c r="K61" s="279"/>
      <c r="L61" s="279"/>
      <c r="M61" s="279"/>
    </row>
    <row r="62" spans="1:13" s="267" customFormat="1" ht="13.15" x14ac:dyDescent="0.4">
      <c r="A62" s="281" t="s">
        <v>51</v>
      </c>
      <c r="B62" s="280">
        <v>0.59544468546637741</v>
      </c>
      <c r="C62" s="280">
        <v>2.5307302964570066E-3</v>
      </c>
      <c r="D62" s="280">
        <v>0.423216444981867</v>
      </c>
      <c r="E62" s="280">
        <v>2</v>
      </c>
      <c r="F62" s="280">
        <v>4</v>
      </c>
      <c r="G62" s="279"/>
      <c r="H62" s="279"/>
      <c r="I62" s="279"/>
      <c r="J62" s="279"/>
      <c r="K62" s="279"/>
      <c r="L62" s="279"/>
      <c r="M62" s="279"/>
    </row>
    <row r="63" spans="1:13" s="267" customFormat="1" ht="13.15" x14ac:dyDescent="0.4">
      <c r="A63" s="281" t="s">
        <v>65</v>
      </c>
      <c r="B63" s="280">
        <v>0.17227042660882139</v>
      </c>
      <c r="C63" s="280">
        <v>4.2570498915401295E-2</v>
      </c>
      <c r="D63" s="280">
        <v>19.814892721918383</v>
      </c>
      <c r="E63" s="280">
        <v>10</v>
      </c>
      <c r="F63" s="280">
        <v>31</v>
      </c>
      <c r="G63" s="279"/>
      <c r="H63" s="279"/>
      <c r="I63" s="279"/>
      <c r="J63" s="279"/>
      <c r="K63" s="279"/>
      <c r="L63" s="279"/>
      <c r="M63" s="279"/>
    </row>
    <row r="64" spans="1:13" s="267" customFormat="1" ht="13.15" x14ac:dyDescent="0.4">
      <c r="A64" s="281" t="s">
        <v>66</v>
      </c>
      <c r="B64" s="280">
        <v>0.3159797541576283</v>
      </c>
      <c r="C64" s="280">
        <v>6.5075921908893664E-3</v>
      </c>
      <c r="D64" s="280">
        <v>2.0179372197309404</v>
      </c>
      <c r="E64" s="280">
        <v>6</v>
      </c>
      <c r="F64" s="280">
        <v>25</v>
      </c>
      <c r="G64" s="279"/>
      <c r="H64" s="279"/>
      <c r="I64" s="279"/>
      <c r="J64" s="279"/>
      <c r="K64" s="279"/>
      <c r="L64" s="279"/>
      <c r="M64" s="279"/>
    </row>
    <row r="65" spans="1:13" s="267" customFormat="1" ht="13.15" x14ac:dyDescent="0.4">
      <c r="A65" s="281" t="s">
        <v>75</v>
      </c>
      <c r="B65" s="280">
        <v>0.70046999276934196</v>
      </c>
      <c r="C65" s="280" t="s">
        <v>92</v>
      </c>
      <c r="D65" s="280" t="s">
        <v>92</v>
      </c>
      <c r="E65" s="280">
        <v>1</v>
      </c>
      <c r="F65" s="280">
        <v>1</v>
      </c>
      <c r="G65" s="279"/>
      <c r="H65" s="279"/>
      <c r="I65" s="279"/>
      <c r="J65" s="279"/>
      <c r="K65" s="279"/>
      <c r="L65" s="279"/>
      <c r="M65" s="279"/>
    </row>
    <row r="66" spans="1:13" s="267" customFormat="1" ht="13.15" x14ac:dyDescent="0.4">
      <c r="A66" s="281" t="s">
        <v>54</v>
      </c>
      <c r="B66" s="280">
        <v>0.29067245119305857</v>
      </c>
      <c r="C66" s="280">
        <v>1.6268980477223416E-2</v>
      </c>
      <c r="D66" s="280">
        <v>5.3003533568904562</v>
      </c>
      <c r="E66" s="280">
        <v>7</v>
      </c>
      <c r="F66" s="280">
        <v>28</v>
      </c>
      <c r="G66" s="279"/>
      <c r="H66" s="279"/>
      <c r="I66" s="279"/>
      <c r="J66" s="279"/>
      <c r="K66" s="279"/>
      <c r="L66" s="279"/>
      <c r="M66" s="279"/>
    </row>
    <row r="67" spans="1:13" s="267" customFormat="1" ht="13.15" x14ac:dyDescent="0.4">
      <c r="A67" s="281" t="s">
        <v>64</v>
      </c>
      <c r="B67" s="280">
        <v>0.40672451193058567</v>
      </c>
      <c r="C67" s="280">
        <v>1.4642082429501047E-2</v>
      </c>
      <c r="D67" s="280">
        <v>3.4749034749034666</v>
      </c>
      <c r="E67" s="280">
        <v>4</v>
      </c>
      <c r="F67" s="280">
        <v>19</v>
      </c>
      <c r="G67" s="279"/>
      <c r="H67" s="279"/>
      <c r="I67" s="279"/>
      <c r="J67" s="279"/>
      <c r="K67" s="279"/>
      <c r="L67" s="279"/>
      <c r="M67" s="279"/>
    </row>
    <row r="68" spans="1:13" s="267" customFormat="1" ht="13.15" x14ac:dyDescent="0.4">
      <c r="A68" s="281" t="s">
        <v>55</v>
      </c>
      <c r="B68" s="280">
        <v>0.30694143167028198</v>
      </c>
      <c r="C68" s="280">
        <v>1.9884309472161799E-3</v>
      </c>
      <c r="D68" s="280">
        <v>0.64365125804563528</v>
      </c>
      <c r="E68" s="280">
        <v>6</v>
      </c>
      <c r="F68" s="280">
        <v>27</v>
      </c>
      <c r="G68" s="279"/>
      <c r="H68" s="279"/>
      <c r="I68" s="279"/>
      <c r="J68" s="279"/>
      <c r="K68" s="279"/>
      <c r="L68" s="279"/>
      <c r="M68" s="279"/>
    </row>
    <row r="69" spans="1:13" s="267" customFormat="1" ht="13.15" x14ac:dyDescent="0.4">
      <c r="A69" s="281" t="s">
        <v>57</v>
      </c>
      <c r="B69" s="280">
        <v>0.46113521330441071</v>
      </c>
      <c r="C69" s="280">
        <v>2.7657266811279835E-2</v>
      </c>
      <c r="D69" s="280">
        <v>5.6582840236686405</v>
      </c>
      <c r="E69" s="280">
        <v>4</v>
      </c>
      <c r="F69" s="280">
        <v>11</v>
      </c>
      <c r="G69" s="279"/>
      <c r="H69" s="279"/>
      <c r="I69" s="279"/>
      <c r="J69" s="279"/>
      <c r="K69" s="279"/>
      <c r="L69" s="279"/>
      <c r="M69" s="279"/>
    </row>
    <row r="70" spans="1:13" s="267" customFormat="1" ht="13.15" x14ac:dyDescent="0.4">
      <c r="A70" s="281" t="s">
        <v>58</v>
      </c>
      <c r="B70" s="280">
        <v>0.43022415039768613</v>
      </c>
      <c r="C70" s="280">
        <v>3.6153289949385492E-3</v>
      </c>
      <c r="D70" s="280">
        <v>0.8333333333333357</v>
      </c>
      <c r="E70" s="280">
        <v>4</v>
      </c>
      <c r="F70" s="280">
        <v>16</v>
      </c>
      <c r="G70" s="279"/>
      <c r="H70" s="279"/>
      <c r="I70" s="279"/>
      <c r="J70" s="279"/>
      <c r="K70" s="279"/>
      <c r="L70" s="279"/>
      <c r="M70" s="279"/>
    </row>
    <row r="71" spans="1:13" s="267" customFormat="1" ht="13.15" x14ac:dyDescent="0.4">
      <c r="A71" s="281" t="s">
        <v>76</v>
      </c>
      <c r="B71" s="280">
        <v>0.68474331164135938</v>
      </c>
      <c r="C71" s="280">
        <v>1.5726681127982589E-2</v>
      </c>
      <c r="D71" s="280">
        <v>2.2451612903225726</v>
      </c>
      <c r="E71" s="280">
        <v>1</v>
      </c>
      <c r="F71" s="280">
        <v>2</v>
      </c>
      <c r="G71" s="279"/>
      <c r="H71" s="279"/>
      <c r="I71" s="279"/>
      <c r="J71" s="279"/>
      <c r="K71" s="279"/>
      <c r="L71" s="279"/>
      <c r="M71" s="279"/>
    </row>
    <row r="72" spans="1:13" s="267" customFormat="1" ht="13.15" x14ac:dyDescent="0.4">
      <c r="A72" s="281" t="s">
        <v>50</v>
      </c>
      <c r="B72" s="280">
        <v>0.58622559652928419</v>
      </c>
      <c r="C72" s="280">
        <v>9.2190889370932227E-3</v>
      </c>
      <c r="D72" s="280">
        <v>1.5482695810564575</v>
      </c>
      <c r="E72" s="280">
        <v>2</v>
      </c>
      <c r="F72" s="280">
        <v>5</v>
      </c>
      <c r="G72" s="279"/>
      <c r="H72" s="279"/>
      <c r="I72" s="279"/>
      <c r="J72" s="279"/>
      <c r="K72" s="279"/>
      <c r="L72" s="279"/>
      <c r="M72" s="279"/>
    </row>
    <row r="73" spans="1:13" s="267" customFormat="1" ht="13.15" x14ac:dyDescent="0.4">
      <c r="A73" s="281" t="s">
        <v>61</v>
      </c>
      <c r="B73" s="280">
        <v>0.512292118582791</v>
      </c>
      <c r="C73" s="280">
        <v>2.8922631959509282E-3</v>
      </c>
      <c r="D73" s="280">
        <v>0.56140350877194856</v>
      </c>
      <c r="E73" s="280">
        <v>3</v>
      </c>
      <c r="F73" s="280">
        <v>9</v>
      </c>
      <c r="G73" s="279"/>
      <c r="H73" s="279"/>
      <c r="I73" s="279"/>
      <c r="J73" s="279"/>
      <c r="K73" s="279"/>
      <c r="L73" s="279"/>
      <c r="M73" s="279"/>
    </row>
    <row r="74" spans="1:13" s="267" customFormat="1" ht="13.15" x14ac:dyDescent="0.4">
      <c r="A74" s="281" t="s">
        <v>59</v>
      </c>
      <c r="B74" s="280">
        <v>0.53579175704989157</v>
      </c>
      <c r="C74" s="280">
        <v>2.9464931308749054E-2</v>
      </c>
      <c r="D74" s="280">
        <v>5.2126638951071236</v>
      </c>
      <c r="E74" s="280">
        <v>3</v>
      </c>
      <c r="F74" s="280">
        <v>7</v>
      </c>
      <c r="G74" s="279"/>
      <c r="H74" s="279"/>
      <c r="I74" s="279"/>
      <c r="J74" s="279"/>
      <c r="K74" s="279"/>
      <c r="L74" s="279"/>
      <c r="M74" s="279"/>
    </row>
    <row r="75" spans="1:13" s="267" customFormat="1" ht="13.15" x14ac:dyDescent="0.4">
      <c r="A75" s="279"/>
      <c r="B75" s="279"/>
      <c r="C75" s="279"/>
      <c r="D75" s="279"/>
      <c r="E75" s="279"/>
      <c r="F75" s="279"/>
      <c r="G75" s="279"/>
      <c r="H75" s="279"/>
      <c r="I75" s="279"/>
      <c r="J75" s="279"/>
      <c r="K75" s="279"/>
      <c r="L75" s="279"/>
      <c r="M75" s="279"/>
    </row>
    <row r="76" spans="1:13" s="267" customFormat="1" ht="13.15" x14ac:dyDescent="0.4">
      <c r="A76" s="279"/>
      <c r="B76" s="279"/>
      <c r="C76" s="279"/>
      <c r="D76" s="279"/>
      <c r="E76" s="279"/>
      <c r="F76" s="279"/>
      <c r="G76" s="279"/>
      <c r="H76" s="279"/>
      <c r="I76" s="279"/>
      <c r="J76" s="279"/>
      <c r="K76" s="279"/>
      <c r="L76" s="279"/>
      <c r="M76" s="279"/>
    </row>
    <row r="77" spans="1:13" s="267" customFormat="1" ht="13.15" x14ac:dyDescent="0.4">
      <c r="A77" s="361" t="s">
        <v>232</v>
      </c>
      <c r="B77" s="361"/>
      <c r="C77" s="361"/>
      <c r="D77" s="361"/>
      <c r="E77" s="361"/>
      <c r="F77" s="361"/>
      <c r="G77" s="279"/>
      <c r="H77" s="279"/>
      <c r="I77" s="279"/>
      <c r="J77" s="279"/>
      <c r="K77" s="279"/>
      <c r="L77" s="279"/>
      <c r="M77" s="279"/>
    </row>
    <row r="78" spans="1:13" ht="13.15" x14ac:dyDescent="0.4">
      <c r="A78" s="234" t="str">
        <f>'3_prioritization_output'!B50</f>
        <v>Survey Name</v>
      </c>
      <c r="B78" s="234" t="str">
        <f>'3_prioritization_output'!C50</f>
        <v>Final Score</v>
      </c>
      <c r="C78" s="263" t="str">
        <f>'3_prioritization_output'!D50</f>
        <v>pt difference</v>
      </c>
      <c r="D78" s="234" t="str">
        <f>'3_prioritization_output'!E50</f>
        <v>%  pt change</v>
      </c>
      <c r="E78" s="234" t="str">
        <f>'3_prioritization_output'!F50</f>
        <v>class</v>
      </c>
      <c r="F78" s="234" t="str">
        <f>'3_prioritization_output'!A50</f>
        <v>Survey Priority</v>
      </c>
    </row>
    <row r="79" spans="1:13" x14ac:dyDescent="0.35">
      <c r="A79" s="275" t="str">
        <f>'3_prioritization_output'!B51</f>
        <v>NOAA lake level monitoring</v>
      </c>
      <c r="B79" s="274">
        <f>'3_prioritization_output'!C51</f>
        <v>0.70046999276934196</v>
      </c>
      <c r="C79" s="168" t="str">
        <f>'3_prioritization_output'!D51</f>
        <v>~</v>
      </c>
      <c r="D79" s="274" t="str">
        <f>'3_prioritization_output'!E51</f>
        <v>~</v>
      </c>
      <c r="E79" s="274">
        <f>'3_prioritization_output'!F51</f>
        <v>1</v>
      </c>
      <c r="F79" s="274">
        <f>'3_prioritization_output'!A51</f>
        <v>1</v>
      </c>
    </row>
    <row r="80" spans="1:13" x14ac:dyDescent="0.35">
      <c r="A80" s="275" t="str">
        <f>'3_prioritization_output'!B52</f>
        <v>USGS stream gauge monitoring</v>
      </c>
      <c r="B80" s="274">
        <f>'3_prioritization_output'!C52</f>
        <v>0.68474331164135938</v>
      </c>
      <c r="C80" s="168">
        <f>'3_prioritization_output'!D52</f>
        <v>1.5726681127982589E-2</v>
      </c>
      <c r="D80" s="274">
        <f>'3_prioritization_output'!E52</f>
        <v>2.2451612903225726</v>
      </c>
      <c r="E80" s="274">
        <f>'3_prioritization_output'!F52</f>
        <v>1</v>
      </c>
      <c r="F80" s="274">
        <f>'3_prioritization_output'!A52</f>
        <v>2</v>
      </c>
    </row>
    <row r="81" spans="1:6" x14ac:dyDescent="0.35">
      <c r="A81" s="275" t="str">
        <f>'3_prioritization_output'!B53</f>
        <v>Eastern Prairie Fringed Orchid</v>
      </c>
      <c r="B81" s="274">
        <f>'3_prioritization_output'!C53</f>
        <v>0.59797541576283442</v>
      </c>
      <c r="C81" s="168">
        <f>'3_prioritization_output'!D53</f>
        <v>8.6767895878524959E-2</v>
      </c>
      <c r="D81" s="274">
        <f>'3_prioritization_output'!E53</f>
        <v>12.671594508975714</v>
      </c>
      <c r="E81" s="274">
        <f>'3_prioritization_output'!F53</f>
        <v>2</v>
      </c>
      <c r="F81" s="274">
        <f>'3_prioritization_output'!A53</f>
        <v>3</v>
      </c>
    </row>
    <row r="82" spans="1:6" x14ac:dyDescent="0.35">
      <c r="A82" s="275" t="str">
        <f>'3_prioritization_output'!B54</f>
        <v>Marshbird Survey</v>
      </c>
      <c r="B82" s="274">
        <f>'3_prioritization_output'!C54</f>
        <v>0.59544468546637741</v>
      </c>
      <c r="C82" s="168">
        <f>'3_prioritization_output'!D54</f>
        <v>2.5307302964570066E-3</v>
      </c>
      <c r="D82" s="274">
        <f>'3_prioritization_output'!E54</f>
        <v>0.423216444981867</v>
      </c>
      <c r="E82" s="274">
        <f>'3_prioritization_output'!F54</f>
        <v>2</v>
      </c>
      <c r="F82" s="274">
        <f>'3_prioritization_output'!A54</f>
        <v>4</v>
      </c>
    </row>
    <row r="83" spans="1:6" x14ac:dyDescent="0.35">
      <c r="A83" s="275" t="str">
        <f>'3_prioritization_output'!B55</f>
        <v>Waterfowl survey</v>
      </c>
      <c r="B83" s="274">
        <f>'3_prioritization_output'!C55</f>
        <v>0.58622559652928419</v>
      </c>
      <c r="C83" s="168">
        <f>'3_prioritization_output'!D55</f>
        <v>9.2190889370932227E-3</v>
      </c>
      <c r="D83" s="274">
        <f>'3_prioritization_output'!E55</f>
        <v>1.5482695810564575</v>
      </c>
      <c r="E83" s="274">
        <f>'3_prioritization_output'!F55</f>
        <v>2</v>
      </c>
      <c r="F83" s="274">
        <f>'3_prioritization_output'!A55</f>
        <v>5</v>
      </c>
    </row>
    <row r="84" spans="1:6" x14ac:dyDescent="0.35">
      <c r="A84" s="275" t="str">
        <f>'3_prioritization_output'!B56</f>
        <v>Aerial Deer Survey</v>
      </c>
      <c r="B84" s="274">
        <f>'3_prioritization_output'!C56</f>
        <v>0.56525668835864062</v>
      </c>
      <c r="C84" s="168">
        <f>'3_prioritization_output'!D56</f>
        <v>2.0968908170643563E-2</v>
      </c>
      <c r="D84" s="274">
        <f>'3_prioritization_output'!E56</f>
        <v>3.5769349367869316</v>
      </c>
      <c r="E84" s="274">
        <f>'3_prioritization_output'!F56</f>
        <v>2</v>
      </c>
      <c r="F84" s="274">
        <f>'3_prioritization_output'!A56</f>
        <v>6</v>
      </c>
    </row>
    <row r="85" spans="1:6" x14ac:dyDescent="0.35">
      <c r="A85" s="275" t="str">
        <f>'3_prioritization_output'!B57</f>
        <v>Wetland Vegetation Cover Survey with annual summary of mean daily Lake Erie water level/water level management.</v>
      </c>
      <c r="B85" s="274">
        <f>'3_prioritization_output'!C57</f>
        <v>0.53579175704989157</v>
      </c>
      <c r="C85" s="168">
        <f>'3_prioritization_output'!D57</f>
        <v>2.9464931308749054E-2</v>
      </c>
      <c r="D85" s="274">
        <f>'3_prioritization_output'!E57</f>
        <v>5.2126638951071236</v>
      </c>
      <c r="E85" s="274">
        <f>'3_prioritization_output'!F57</f>
        <v>3</v>
      </c>
      <c r="F85" s="274">
        <f>'3_prioritization_output'!A57</f>
        <v>7</v>
      </c>
    </row>
    <row r="86" spans="1:6" x14ac:dyDescent="0.35">
      <c r="A86" s="275" t="str">
        <f>'3_prioritization_output'!B58</f>
        <v>Grassy Island ground water monitoring</v>
      </c>
      <c r="B86" s="274">
        <f>'3_prioritization_output'!C58</f>
        <v>0.51518438177874193</v>
      </c>
      <c r="C86" s="168">
        <f>'3_prioritization_output'!D58</f>
        <v>2.0607375271149642E-2</v>
      </c>
      <c r="D86" s="274">
        <f>'3_prioritization_output'!E58</f>
        <v>3.84615384615384</v>
      </c>
      <c r="E86" s="274">
        <f>'3_prioritization_output'!F58</f>
        <v>3</v>
      </c>
      <c r="F86" s="274">
        <f>'3_prioritization_output'!A58</f>
        <v>8</v>
      </c>
    </row>
    <row r="87" spans="1:6" x14ac:dyDescent="0.35">
      <c r="A87" s="275" t="str">
        <f>'3_prioritization_output'!B59</f>
        <v>Wet Prairie Monitoring</v>
      </c>
      <c r="B87" s="274">
        <f>'3_prioritization_output'!C59</f>
        <v>0.512292118582791</v>
      </c>
      <c r="C87" s="168">
        <f>'3_prioritization_output'!D59</f>
        <v>2.8922631959509282E-3</v>
      </c>
      <c r="D87" s="274">
        <f>'3_prioritization_output'!E59</f>
        <v>0.56140350877194856</v>
      </c>
      <c r="E87" s="274">
        <f>'3_prioritization_output'!F59</f>
        <v>3</v>
      </c>
      <c r="F87" s="274">
        <f>'3_prioritization_output'!A59</f>
        <v>9</v>
      </c>
    </row>
    <row r="88" spans="1:6" x14ac:dyDescent="0.35">
      <c r="A88" s="275" t="str">
        <f>'3_prioritization_output'!B60</f>
        <v>American Woodcock Survey</v>
      </c>
      <c r="B88" s="274">
        <f>'3_prioritization_output'!C60</f>
        <v>0.48879248011569054</v>
      </c>
      <c r="C88" s="168">
        <f>'3_prioritization_output'!D60</f>
        <v>2.3499638467100459E-2</v>
      </c>
      <c r="D88" s="274">
        <f>'3_prioritization_output'!E60</f>
        <v>4.5871559633027434</v>
      </c>
      <c r="E88" s="274">
        <f>'3_prioritization_output'!F60</f>
        <v>3</v>
      </c>
      <c r="F88" s="274">
        <f>'3_prioritization_output'!A60</f>
        <v>10</v>
      </c>
    </row>
    <row r="89" spans="1:6" x14ac:dyDescent="0.35">
      <c r="A89" s="275" t="str">
        <f>'3_prioritization_output'!B61</f>
        <v>Shorebird Survey</v>
      </c>
      <c r="B89" s="274">
        <f>'3_prioritization_output'!C61</f>
        <v>0.46113521330441071</v>
      </c>
      <c r="C89" s="168">
        <f>'3_prioritization_output'!D61</f>
        <v>2.7657266811279835E-2</v>
      </c>
      <c r="D89" s="274">
        <f>'3_prioritization_output'!E61</f>
        <v>5.6582840236686405</v>
      </c>
      <c r="E89" s="274">
        <f>'3_prioritization_output'!F61</f>
        <v>4</v>
      </c>
      <c r="F89" s="274">
        <f>'3_prioritization_output'!A61</f>
        <v>11</v>
      </c>
    </row>
    <row r="90" spans="1:6" x14ac:dyDescent="0.35">
      <c r="A90" s="275" t="str">
        <f>'3_prioritization_output'!B62</f>
        <v>Bald Eagle Monitoring</v>
      </c>
      <c r="B90" s="274">
        <f>'3_prioritization_output'!C62</f>
        <v>0.44649313087490961</v>
      </c>
      <c r="C90" s="168">
        <f>'3_prioritization_output'!D62</f>
        <v>1.4642082429501102E-2</v>
      </c>
      <c r="D90" s="274">
        <f>'3_prioritization_output'!E62</f>
        <v>3.175225401803218</v>
      </c>
      <c r="E90" s="274">
        <f>'3_prioritization_output'!F62</f>
        <v>4</v>
      </c>
      <c r="F90" s="274">
        <f>'3_prioritization_output'!A62</f>
        <v>12</v>
      </c>
    </row>
    <row r="91" spans="1:6" x14ac:dyDescent="0.35">
      <c r="A91" s="275" t="str">
        <f>'3_prioritization_output'!B63</f>
        <v>HGM</v>
      </c>
      <c r="B91" s="274">
        <f>'3_prioritization_output'!C63</f>
        <v>0.44486623282718724</v>
      </c>
      <c r="C91" s="168">
        <f>'3_prioritization_output'!D63</f>
        <v>1.6268980477223693E-3</v>
      </c>
      <c r="D91" s="274">
        <f>'3_prioritization_output'!E63</f>
        <v>0.36437246963563352</v>
      </c>
      <c r="E91" s="274">
        <f>'3_prioritization_output'!F63</f>
        <v>4</v>
      </c>
      <c r="F91" s="274">
        <f>'3_prioritization_output'!A63</f>
        <v>13</v>
      </c>
    </row>
    <row r="92" spans="1:6" x14ac:dyDescent="0.35">
      <c r="A92" s="275" t="str">
        <f>'3_prioritization_output'!B64</f>
        <v>Gibraltar Wetlands Forest Invasives Inventory</v>
      </c>
      <c r="B92" s="274">
        <f>'3_prioritization_output'!C64</f>
        <v>0.43872017353579174</v>
      </c>
      <c r="C92" s="168">
        <f>'3_prioritization_output'!D64</f>
        <v>6.1460592913955003E-3</v>
      </c>
      <c r="D92" s="274">
        <f>'3_prioritization_output'!E64</f>
        <v>1.3815522145469283</v>
      </c>
      <c r="E92" s="274">
        <f>'3_prioritization_output'!F64</f>
        <v>4</v>
      </c>
      <c r="F92" s="274">
        <f>'3_prioritization_output'!A64</f>
        <v>14</v>
      </c>
    </row>
    <row r="93" spans="1:6" x14ac:dyDescent="0.35">
      <c r="A93" s="275" t="str">
        <f>'3_prioritization_output'!B65</f>
        <v>Lower Great Lakes January Waterfowl Survey (as part of Mid-Winter Waterfowl Survey)</v>
      </c>
      <c r="B93" s="274">
        <f>'3_prioritization_output'!C65</f>
        <v>0.43383947939262468</v>
      </c>
      <c r="C93" s="168">
        <f>'3_prioritization_output'!D65</f>
        <v>4.8806941431670525E-3</v>
      </c>
      <c r="D93" s="274">
        <f>'3_prioritization_output'!E65</f>
        <v>1.1124845488257162</v>
      </c>
      <c r="E93" s="274">
        <f>'3_prioritization_output'!F65</f>
        <v>4</v>
      </c>
      <c r="F93" s="274">
        <f>'3_prioritization_output'!A65</f>
        <v>15</v>
      </c>
    </row>
    <row r="94" spans="1:6" x14ac:dyDescent="0.35">
      <c r="A94" s="275" t="str">
        <f>'3_prioritization_output'!B66</f>
        <v>Treatment Evaluation of Phragmites, invasive cattail, reed canary grass</v>
      </c>
      <c r="B94" s="274">
        <f>'3_prioritization_output'!C66</f>
        <v>0.43022415039768613</v>
      </c>
      <c r="C94" s="168">
        <f>'3_prioritization_output'!D66</f>
        <v>3.6153289949385492E-3</v>
      </c>
      <c r="D94" s="274">
        <f>'3_prioritization_output'!E66</f>
        <v>0.8333333333333357</v>
      </c>
      <c r="E94" s="274">
        <f>'3_prioritization_output'!F66</f>
        <v>4</v>
      </c>
      <c r="F94" s="274">
        <f>'3_prioritization_output'!A66</f>
        <v>16</v>
      </c>
    </row>
    <row r="95" spans="1:6" x14ac:dyDescent="0.35">
      <c r="A95" s="275" t="str">
        <f>'3_prioritization_output'!B67</f>
        <v>Humbug Marsh Deer Browse Evaluation</v>
      </c>
      <c r="B95" s="274">
        <f>'3_prioritization_output'!C67</f>
        <v>0.42154736080983368</v>
      </c>
      <c r="C95" s="168">
        <f>'3_prioritization_output'!D67</f>
        <v>8.6767895878524515E-3</v>
      </c>
      <c r="D95" s="274">
        <f>'3_prioritization_output'!E67</f>
        <v>2.0168067226890662</v>
      </c>
      <c r="E95" s="274">
        <f>'3_prioritization_output'!F67</f>
        <v>4</v>
      </c>
      <c r="F95" s="274">
        <f>'3_prioritization_output'!A67</f>
        <v>17</v>
      </c>
    </row>
    <row r="96" spans="1:6" x14ac:dyDescent="0.35">
      <c r="A96" s="275" t="str">
        <f>'3_prioritization_output'!B68</f>
        <v>Forest Ecological Inventory</v>
      </c>
      <c r="B96" s="274">
        <f>'3_prioritization_output'!C68</f>
        <v>0.42136659436008672</v>
      </c>
      <c r="C96" s="168">
        <f>'3_prioritization_output'!D68</f>
        <v>1.8076644974696077E-4</v>
      </c>
      <c r="D96" s="274">
        <f>'3_prioritization_output'!E68</f>
        <v>4.288164665523958E-2</v>
      </c>
      <c r="E96" s="274">
        <f>'3_prioritization_output'!F68</f>
        <v>4</v>
      </c>
      <c r="F96" s="274">
        <f>'3_prioritization_output'!A68</f>
        <v>18</v>
      </c>
    </row>
    <row r="97" spans="1:13" x14ac:dyDescent="0.35">
      <c r="A97" s="275" t="str">
        <f>'3_prioritization_output'!B69</f>
        <v xml:space="preserve">Phragmites Reduction: Comparison via remote-sensing of 2017 Imagery to 2009 Baseline </v>
      </c>
      <c r="B97" s="274">
        <f>'3_prioritization_output'!C69</f>
        <v>0.40672451193058567</v>
      </c>
      <c r="C97" s="168">
        <f>'3_prioritization_output'!D69</f>
        <v>1.4642082429501047E-2</v>
      </c>
      <c r="D97" s="274">
        <f>'3_prioritization_output'!E69</f>
        <v>3.4749034749034666</v>
      </c>
      <c r="E97" s="274">
        <f>'3_prioritization_output'!F69</f>
        <v>4</v>
      </c>
      <c r="F97" s="274">
        <f>'3_prioritization_output'!A69</f>
        <v>19</v>
      </c>
    </row>
    <row r="98" spans="1:13" x14ac:dyDescent="0.35">
      <c r="A98" s="275" t="str">
        <f>'3_prioritization_output'!B70</f>
        <v>Coordinated Canvasback Survey</v>
      </c>
      <c r="B98" s="274">
        <f>'3_prioritization_output'!C70</f>
        <v>0.39614967462039041</v>
      </c>
      <c r="C98" s="168">
        <f>'3_prioritization_output'!D70</f>
        <v>1.0574837310195262E-2</v>
      </c>
      <c r="D98" s="274">
        <f>'3_prioritization_output'!E70</f>
        <v>2.6000000000000085</v>
      </c>
      <c r="E98" s="274">
        <f>'3_prioritization_output'!F70</f>
        <v>4</v>
      </c>
      <c r="F98" s="274">
        <f>'3_prioritization_output'!A70</f>
        <v>20</v>
      </c>
    </row>
    <row r="99" spans="1:13" x14ac:dyDescent="0.35">
      <c r="A99" s="275" t="str">
        <f>'3_prioritization_output'!B71</f>
        <v>Impoundment water levels</v>
      </c>
      <c r="B99" s="274">
        <f>'3_prioritization_output'!C71</f>
        <v>0.37075198843094714</v>
      </c>
      <c r="C99" s="168">
        <f>'3_prioritization_output'!D71</f>
        <v>2.5397686189443269E-2</v>
      </c>
      <c r="D99" s="274">
        <f>'3_prioritization_output'!E71</f>
        <v>6.4111339265343457</v>
      </c>
      <c r="E99" s="274">
        <f>'3_prioritization_output'!F71</f>
        <v>5</v>
      </c>
      <c r="F99" s="274">
        <f>'3_prioritization_output'!A71</f>
        <v>21</v>
      </c>
    </row>
    <row r="100" spans="1:13" x14ac:dyDescent="0.35">
      <c r="A100" s="275" t="str">
        <f>'3_prioritization_output'!B72</f>
        <v>Fish survey</v>
      </c>
      <c r="B100" s="274">
        <f>'3_prioritization_output'!C72</f>
        <v>0.3694866232827187</v>
      </c>
      <c r="C100" s="168">
        <f>'3_prioritization_output'!D72</f>
        <v>1.2653651482284478E-3</v>
      </c>
      <c r="D100" s="274">
        <f>'3_prioritization_output'!E72</f>
        <v>0.34129692832763409</v>
      </c>
      <c r="E100" s="274">
        <f>'3_prioritization_output'!F72</f>
        <v>5</v>
      </c>
      <c r="F100" s="274">
        <f>'3_prioritization_output'!A72</f>
        <v>22</v>
      </c>
    </row>
    <row r="101" spans="1:13" x14ac:dyDescent="0.35">
      <c r="A101" s="275" t="str">
        <f>'3_prioritization_output'!B73</f>
        <v xml:space="preserve">Lake sturgeon </v>
      </c>
      <c r="B101" s="274">
        <f>'3_prioritization_output'!C73</f>
        <v>0.33920824295010843</v>
      </c>
      <c r="C101" s="168">
        <f>'3_prioritization_output'!D73</f>
        <v>3.0278380332610266E-2</v>
      </c>
      <c r="D101" s="274">
        <f>'3_prioritization_output'!E73</f>
        <v>8.1947162426614479</v>
      </c>
      <c r="E101" s="274">
        <f>'3_prioritization_output'!F73</f>
        <v>6</v>
      </c>
      <c r="F101" s="274">
        <f>'3_prioritization_output'!A73</f>
        <v>23</v>
      </c>
    </row>
    <row r="102" spans="1:13" x14ac:dyDescent="0.35">
      <c r="A102" s="275" t="str">
        <f>'3_prioritization_output'!B74</f>
        <v>Common Tern Monitoring</v>
      </c>
      <c r="B102" s="274">
        <f>'3_prioritization_output'!C74</f>
        <v>0.32248734634851767</v>
      </c>
      <c r="C102" s="168">
        <f>'3_prioritization_output'!D74</f>
        <v>1.6720896601590762E-2</v>
      </c>
      <c r="D102" s="274">
        <f>'3_prioritization_output'!E74</f>
        <v>4.9293898214761578</v>
      </c>
      <c r="E102" s="274">
        <f>'3_prioritization_output'!F74</f>
        <v>6</v>
      </c>
      <c r="F102" s="274">
        <f>'3_prioritization_output'!A74</f>
        <v>24</v>
      </c>
    </row>
    <row r="103" spans="1:13" x14ac:dyDescent="0.35">
      <c r="A103" s="275" t="str">
        <f>'3_prioritization_output'!B75</f>
        <v>Muskrat Monitoring</v>
      </c>
      <c r="B103" s="274">
        <f>'3_prioritization_output'!C75</f>
        <v>0.3159797541576283</v>
      </c>
      <c r="C103" s="168">
        <f>'3_prioritization_output'!D75</f>
        <v>6.5075921908893664E-3</v>
      </c>
      <c r="D103" s="274">
        <f>'3_prioritization_output'!E75</f>
        <v>2.0179372197309404</v>
      </c>
      <c r="E103" s="274">
        <f>'3_prioritization_output'!F75</f>
        <v>6</v>
      </c>
      <c r="F103" s="274">
        <f>'3_prioritization_output'!A75</f>
        <v>25</v>
      </c>
    </row>
    <row r="104" spans="1:13" x14ac:dyDescent="0.35">
      <c r="A104" s="275" t="str">
        <f>'3_prioritization_output'!B76</f>
        <v>Fox Snake Survey</v>
      </c>
      <c r="B104" s="274">
        <f>'3_prioritization_output'!C76</f>
        <v>0.30892986261749816</v>
      </c>
      <c r="C104" s="168">
        <f>'3_prioritization_output'!D76</f>
        <v>7.0498915401301376E-3</v>
      </c>
      <c r="D104" s="274">
        <f>'3_prioritization_output'!E76</f>
        <v>2.2311212814645267</v>
      </c>
      <c r="E104" s="274">
        <f>'3_prioritization_output'!F76</f>
        <v>6</v>
      </c>
      <c r="F104" s="274">
        <f>'3_prioritization_output'!A76</f>
        <v>26</v>
      </c>
    </row>
    <row r="105" spans="1:13" x14ac:dyDescent="0.35">
      <c r="A105" s="275" t="str">
        <f>'3_prioritization_output'!B77</f>
        <v>Rusty Blackbird Survey</v>
      </c>
      <c r="B105" s="274">
        <f>'3_prioritization_output'!C77</f>
        <v>0.30694143167028198</v>
      </c>
      <c r="C105" s="168">
        <f>'3_prioritization_output'!D77</f>
        <v>1.9884309472161799E-3</v>
      </c>
      <c r="D105" s="274">
        <f>'3_prioritization_output'!E77</f>
        <v>0.64365125804563528</v>
      </c>
      <c r="E105" s="274">
        <f>'3_prioritization_output'!F77</f>
        <v>6</v>
      </c>
      <c r="F105" s="274">
        <f>'3_prioritization_output'!A77</f>
        <v>27</v>
      </c>
    </row>
    <row r="106" spans="1:13" x14ac:dyDescent="0.35">
      <c r="A106" s="275" t="str">
        <f>'3_prioritization_output'!B78</f>
        <v>Northern Flicker Survey</v>
      </c>
      <c r="B106" s="274">
        <f>'3_prioritization_output'!C78</f>
        <v>0.29067245119305857</v>
      </c>
      <c r="C106" s="168">
        <f>'3_prioritization_output'!D78</f>
        <v>1.6268980477223416E-2</v>
      </c>
      <c r="D106" s="274">
        <f>'3_prioritization_output'!E78</f>
        <v>5.3003533568904562</v>
      </c>
      <c r="E106" s="274">
        <f>'3_prioritization_output'!F78</f>
        <v>7</v>
      </c>
      <c r="F106" s="274">
        <f>'3_prioritization_output'!A78</f>
        <v>28</v>
      </c>
    </row>
    <row r="107" spans="1:13" x14ac:dyDescent="0.35">
      <c r="A107" s="275" t="str">
        <f>'3_prioritization_output'!B79</f>
        <v>Blanding's Turtle Survey</v>
      </c>
      <c r="B107" s="274">
        <f>'3_prioritization_output'!C79</f>
        <v>0.24566160520607375</v>
      </c>
      <c r="C107" s="168">
        <f>'3_prioritization_output'!D79</f>
        <v>4.5010845986984821E-2</v>
      </c>
      <c r="D107" s="274">
        <f>'3_prioritization_output'!E79</f>
        <v>15.485074626865675</v>
      </c>
      <c r="E107" s="274">
        <f>'3_prioritization_output'!F79</f>
        <v>8</v>
      </c>
      <c r="F107" s="274">
        <f>'3_prioritization_output'!A79</f>
        <v>29</v>
      </c>
    </row>
    <row r="108" spans="1:13" x14ac:dyDescent="0.35">
      <c r="A108" s="275" t="str">
        <f>'3_prioritization_output'!B80</f>
        <v>Detroit River Hawk Watch</v>
      </c>
      <c r="B108" s="274">
        <f>'3_prioritization_output'!C80</f>
        <v>0.21484092552422268</v>
      </c>
      <c r="C108" s="168">
        <f>'3_prioritization_output'!D80</f>
        <v>3.0820679681851065E-2</v>
      </c>
      <c r="D108" s="274">
        <f>'3_prioritization_output'!E80</f>
        <v>12.545989698307586</v>
      </c>
      <c r="E108" s="274">
        <f>'3_prioritization_output'!F80</f>
        <v>9</v>
      </c>
      <c r="F108" s="274">
        <f>'3_prioritization_output'!A80</f>
        <v>30</v>
      </c>
    </row>
    <row r="109" spans="1:13" x14ac:dyDescent="0.35">
      <c r="A109" s="275" t="str">
        <f>'3_prioritization_output'!B81</f>
        <v>Multi-agency water quality in the lower Detroit River and the western Lake Erie basin.</v>
      </c>
      <c r="B109" s="274">
        <f>'3_prioritization_output'!C81</f>
        <v>0.17227042660882139</v>
      </c>
      <c r="C109" s="168">
        <f>'3_prioritization_output'!D81</f>
        <v>4.2570498915401295E-2</v>
      </c>
      <c r="D109" s="274">
        <f>'3_prioritization_output'!E81</f>
        <v>19.814892721918383</v>
      </c>
      <c r="E109" s="274">
        <f>'3_prioritization_output'!F81</f>
        <v>10</v>
      </c>
      <c r="F109" s="274">
        <f>'3_prioritization_output'!A81</f>
        <v>31</v>
      </c>
    </row>
    <row r="110" spans="1:13" ht="13.15" x14ac:dyDescent="0.4">
      <c r="A110" s="234"/>
    </row>
    <row r="112" spans="1:13" ht="13.15" x14ac:dyDescent="0.4">
      <c r="A112" s="361" t="s">
        <v>233</v>
      </c>
      <c r="B112" s="361"/>
      <c r="C112" s="361"/>
      <c r="D112" s="361"/>
      <c r="E112" s="361"/>
      <c r="F112" s="361"/>
      <c r="G112" s="361"/>
      <c r="H112" s="361"/>
      <c r="I112" s="361"/>
      <c r="J112" s="361"/>
      <c r="K112" s="361"/>
      <c r="L112" s="361"/>
      <c r="M112" s="361"/>
    </row>
    <row r="113" spans="1:15" s="166" customFormat="1" ht="13.15" x14ac:dyDescent="0.4">
      <c r="A113" s="234" t="str">
        <f>'survey-time'!B9</f>
        <v>Survey</v>
      </c>
      <c r="B113" s="234" t="str">
        <f>'survey-time'!C9</f>
        <v>Phase</v>
      </c>
      <c r="C113" s="234" t="str">
        <f>'survey-time'!D9</f>
        <v>Dates</v>
      </c>
      <c r="D113" s="235" t="str">
        <f>'survey-time'!E9</f>
        <v>FWS BIO weeks</v>
      </c>
      <c r="E113" s="232" t="str">
        <f>'survey-time'!F9</f>
        <v xml:space="preserve"> Temp weeks</v>
      </c>
      <c r="F113" s="232" t="str">
        <f>'survey-time'!G9</f>
        <v>Statistician</v>
      </c>
      <c r="G113" s="232" t="str">
        <f>'survey-time'!H9</f>
        <v>Equipment, Operations</v>
      </c>
      <c r="H113" s="232" t="str">
        <f>'survey-time'!I9</f>
        <v>Year 1 cost</v>
      </c>
      <c r="I113" s="232" t="str">
        <f>'survey-time'!J9</f>
        <v>Cost Year 2</v>
      </c>
      <c r="J113" s="232" t="str">
        <f>'survey-time'!K9</f>
        <v>Cost Year 3</v>
      </c>
      <c r="K113" s="232" t="str">
        <f>'survey-time'!L9</f>
        <v>Cost Year 4</v>
      </c>
      <c r="L113" s="232" t="str">
        <f>'survey-time'!M9</f>
        <v>Cost Year 5</v>
      </c>
      <c r="M113" s="252" t="s">
        <v>234</v>
      </c>
      <c r="N113" s="252" t="s">
        <v>215</v>
      </c>
      <c r="O113" s="234" t="s">
        <v>213</v>
      </c>
    </row>
    <row r="114" spans="1:15" s="166" customFormat="1" x14ac:dyDescent="0.35">
      <c r="A114" s="276" t="str">
        <f>'survey-time'!B269</f>
        <v>Aerial Deer Survey</v>
      </c>
      <c r="B114" s="274" t="str">
        <f>'survey-time'!C269</f>
        <v>Total</v>
      </c>
      <c r="C114" s="274">
        <f>'survey-time'!D269</f>
        <v>0</v>
      </c>
      <c r="D114" s="274">
        <f>'survey-time'!E269</f>
        <v>0.75</v>
      </c>
      <c r="E114" s="274">
        <f>'survey-time'!F269</f>
        <v>0</v>
      </c>
      <c r="F114" s="274">
        <f>'survey-time'!G269</f>
        <v>0</v>
      </c>
      <c r="G114" s="274">
        <f>'survey-time'!H269</f>
        <v>0</v>
      </c>
      <c r="H114" s="277">
        <f>'survey-time'!I269</f>
        <v>773.69999999999993</v>
      </c>
      <c r="I114" s="277">
        <f>'survey-time'!J269</f>
        <v>361.06</v>
      </c>
      <c r="J114" s="277">
        <f>'survey-time'!K269</f>
        <v>361.06</v>
      </c>
      <c r="K114" s="277">
        <f>'survey-time'!L269</f>
        <v>361.06</v>
      </c>
      <c r="L114" s="277">
        <f>'survey-time'!M269</f>
        <v>361.06</v>
      </c>
      <c r="M114" s="150">
        <f>H114+(I114*(N114-1))</f>
        <v>5828.54</v>
      </c>
      <c r="N114" s="150">
        <f>IF(SUM(H114:L114)=0,15,IF(COUNTIF(H114:L114,"&gt;0")&lt;5,1,15))</f>
        <v>15</v>
      </c>
      <c r="O114" s="150">
        <f>D114*N114</f>
        <v>11.25</v>
      </c>
    </row>
    <row r="115" spans="1:15" x14ac:dyDescent="0.35">
      <c r="A115" s="167" t="str">
        <f>'survey-time'!B71</f>
        <v>American Woodcock Survey</v>
      </c>
      <c r="B115" s="166" t="str">
        <f>'survey-time'!C71</f>
        <v>Total</v>
      </c>
      <c r="C115" s="166">
        <f>'survey-time'!D71</f>
        <v>0</v>
      </c>
      <c r="D115" s="233">
        <f>'survey-time'!E71</f>
        <v>5.5</v>
      </c>
      <c r="E115" s="166">
        <f>'survey-time'!F71</f>
        <v>0</v>
      </c>
      <c r="F115" s="166">
        <f>'survey-time'!G71</f>
        <v>0</v>
      </c>
      <c r="G115" s="166">
        <f>'survey-time'!H71</f>
        <v>0</v>
      </c>
      <c r="H115" s="150">
        <f>'survey-time'!I71</f>
        <v>7073.7999999999993</v>
      </c>
      <c r="I115" s="150">
        <f>'survey-time'!J71</f>
        <v>5242.1999999999989</v>
      </c>
      <c r="J115" s="150">
        <f>'survey-time'!K71</f>
        <v>5242.1999999999989</v>
      </c>
      <c r="K115" s="150">
        <f>'survey-time'!L71</f>
        <v>5242.1999999999989</v>
      </c>
      <c r="L115" s="150">
        <f>'survey-time'!M71</f>
        <v>5242.1999999999989</v>
      </c>
      <c r="M115" s="150">
        <f>H115+(I115*(N115-1))</f>
        <v>80464.599999999991</v>
      </c>
      <c r="N115" s="150">
        <f>IF(SUM(H115:L115)=0,15,IF(COUNTIF(H115:L115,"&gt;0")&lt;5,1,15))</f>
        <v>15</v>
      </c>
      <c r="O115" s="150">
        <f>D115*N115</f>
        <v>82.5</v>
      </c>
    </row>
    <row r="116" spans="1:15" x14ac:dyDescent="0.35">
      <c r="A116" s="167" t="str">
        <f>'survey-time'!B197</f>
        <v>Bald Eagle Monitoring</v>
      </c>
      <c r="B116" s="166" t="str">
        <f>'survey-time'!C197</f>
        <v>Total</v>
      </c>
      <c r="C116" s="166">
        <f>'survey-time'!D197</f>
        <v>0</v>
      </c>
      <c r="D116" s="233">
        <f>'survey-time'!E197</f>
        <v>0.5</v>
      </c>
      <c r="E116" s="166">
        <f>'survey-time'!F197</f>
        <v>0</v>
      </c>
      <c r="F116" s="166">
        <f>'survey-time'!G197</f>
        <v>0</v>
      </c>
      <c r="G116" s="166">
        <f>'survey-time'!H197</f>
        <v>0</v>
      </c>
      <c r="H116" s="150">
        <f>'survey-time'!I197</f>
        <v>515.79999999999995</v>
      </c>
      <c r="I116" s="150">
        <f>'survey-time'!J197</f>
        <v>515.79999999999995</v>
      </c>
      <c r="J116" s="150">
        <f>'survey-time'!K197</f>
        <v>515.79999999999995</v>
      </c>
      <c r="K116" s="150">
        <f>'survey-time'!L197</f>
        <v>515.79999999999995</v>
      </c>
      <c r="L116" s="150">
        <f>'survey-time'!M197</f>
        <v>515.79999999999995</v>
      </c>
      <c r="M116" s="150">
        <f t="shared" ref="M116:M144" si="6">H116+(I116*(N116-1))</f>
        <v>7736.9999999999991</v>
      </c>
      <c r="N116" s="150">
        <f t="shared" ref="N116:N144" si="7">IF(SUM(H116:L116)=0,15,IF(COUNTIF(H116:L116,"&gt;0")&lt;5,1,15))</f>
        <v>15</v>
      </c>
      <c r="O116" s="150">
        <f t="shared" ref="O116:O144" si="8">D116*N116</f>
        <v>7.5</v>
      </c>
    </row>
    <row r="117" spans="1:15" x14ac:dyDescent="0.35">
      <c r="A117" s="167" t="str">
        <f>'survey-time'!B44</f>
        <v>Blanding's Turtle Survey</v>
      </c>
      <c r="B117" s="166" t="str">
        <f>'survey-time'!C44</f>
        <v>Total</v>
      </c>
      <c r="C117" s="166">
        <f>'survey-time'!D44</f>
        <v>0</v>
      </c>
      <c r="D117" s="233">
        <f>'survey-time'!E44</f>
        <v>16</v>
      </c>
      <c r="E117" s="166">
        <f>'survey-time'!F44</f>
        <v>0</v>
      </c>
      <c r="F117" s="166">
        <f>'survey-time'!G44</f>
        <v>0</v>
      </c>
      <c r="G117" s="166">
        <f>'survey-time'!H44</f>
        <v>0</v>
      </c>
      <c r="H117" s="150">
        <f>'survey-time'!I44</f>
        <v>26745.599999999999</v>
      </c>
      <c r="I117" s="150">
        <f>'survey-time'!J44</f>
        <v>12379.199999999999</v>
      </c>
      <c r="J117" s="150">
        <f>'survey-time'!K44</f>
        <v>12379.199999999999</v>
      </c>
      <c r="K117" s="150">
        <f>'survey-time'!L44</f>
        <v>12379.199999999999</v>
      </c>
      <c r="L117" s="150">
        <f>'survey-time'!M44</f>
        <v>12379.199999999999</v>
      </c>
      <c r="M117" s="150">
        <f t="shared" si="6"/>
        <v>200054.39999999999</v>
      </c>
      <c r="N117" s="150">
        <f t="shared" si="7"/>
        <v>15</v>
      </c>
      <c r="O117" s="150">
        <f t="shared" si="8"/>
        <v>240</v>
      </c>
    </row>
    <row r="118" spans="1:15" x14ac:dyDescent="0.35">
      <c r="A118" s="167" t="str">
        <f>'survey-time'!B287</f>
        <v>Common Tern Monitoring</v>
      </c>
      <c r="B118" s="166" t="str">
        <f>'survey-time'!C287</f>
        <v>Total</v>
      </c>
      <c r="C118" s="166">
        <f>'survey-time'!D287</f>
        <v>0</v>
      </c>
      <c r="D118" s="166">
        <f>'survey-time'!E287</f>
        <v>0.7</v>
      </c>
      <c r="E118" s="166">
        <f>'survey-time'!F287</f>
        <v>0</v>
      </c>
      <c r="F118" s="166">
        <f>'survey-time'!G287</f>
        <v>0</v>
      </c>
      <c r="G118" s="166">
        <f>'survey-time'!H287</f>
        <v>0</v>
      </c>
      <c r="H118" s="278">
        <f>'survey-time'!I287</f>
        <v>1222.1200000000001</v>
      </c>
      <c r="I118" s="278">
        <f>'survey-time'!J287</f>
        <v>722.11999999999989</v>
      </c>
      <c r="J118" s="278">
        <f>'survey-time'!K287</f>
        <v>722.11999999999989</v>
      </c>
      <c r="K118" s="278">
        <f>'survey-time'!L287</f>
        <v>722.11999999999989</v>
      </c>
      <c r="L118" s="278">
        <f>'survey-time'!M287</f>
        <v>722.11999999999989</v>
      </c>
      <c r="M118" s="150">
        <f>H118+(I118*(N118-1))</f>
        <v>11331.8</v>
      </c>
      <c r="N118" s="150">
        <f>IF(SUM(H118:L118)=0,15,IF(COUNTIF(H118:L118,"&gt;0")&lt;5,1,15))</f>
        <v>15</v>
      </c>
      <c r="O118" s="150">
        <f>D118*N118</f>
        <v>10.5</v>
      </c>
    </row>
    <row r="119" spans="1:15" x14ac:dyDescent="0.35">
      <c r="A119" s="167" t="str">
        <f>'survey-time'!B206</f>
        <v>Coordinated Canvasback Survey</v>
      </c>
      <c r="B119" s="166" t="str">
        <f>'survey-time'!C206</f>
        <v>Total</v>
      </c>
      <c r="C119" s="166">
        <f>'survey-time'!D206</f>
        <v>0</v>
      </c>
      <c r="D119" s="233">
        <f>'survey-time'!E206</f>
        <v>0</v>
      </c>
      <c r="E119" s="166">
        <f>'survey-time'!F206</f>
        <v>0</v>
      </c>
      <c r="F119" s="166">
        <f>'survey-time'!G206</f>
        <v>0</v>
      </c>
      <c r="G119" s="166">
        <f>'survey-time'!H206</f>
        <v>0</v>
      </c>
      <c r="H119" s="150">
        <f>'survey-time'!I206</f>
        <v>0</v>
      </c>
      <c r="I119" s="150">
        <f>'survey-time'!J206</f>
        <v>0</v>
      </c>
      <c r="J119" s="150">
        <f>'survey-time'!K206</f>
        <v>0</v>
      </c>
      <c r="K119" s="150">
        <f>'survey-time'!L206</f>
        <v>0</v>
      </c>
      <c r="L119" s="150">
        <f>'survey-time'!M206</f>
        <v>0</v>
      </c>
      <c r="M119" s="150">
        <f t="shared" si="6"/>
        <v>0</v>
      </c>
      <c r="N119" s="150">
        <f t="shared" si="7"/>
        <v>15</v>
      </c>
      <c r="O119" s="150">
        <f t="shared" si="8"/>
        <v>0</v>
      </c>
    </row>
    <row r="120" spans="1:15" x14ac:dyDescent="0.35">
      <c r="A120" s="167" t="str">
        <f>'survey-time'!B278</f>
        <v>Detroit River Hawk Watch</v>
      </c>
      <c r="B120" s="166" t="str">
        <f>'survey-time'!C278</f>
        <v>Total</v>
      </c>
      <c r="C120" s="166">
        <f>'survey-time'!D278</f>
        <v>0</v>
      </c>
      <c r="D120" s="166">
        <f>'survey-time'!E278</f>
        <v>1.2</v>
      </c>
      <c r="E120" s="166">
        <f>'survey-time'!F278</f>
        <v>0</v>
      </c>
      <c r="F120" s="166">
        <f>'survey-time'!G278</f>
        <v>0</v>
      </c>
      <c r="G120" s="166">
        <f>'survey-time'!H278</f>
        <v>0</v>
      </c>
      <c r="H120" s="278">
        <f>'survey-time'!I278</f>
        <v>1237.9199999999998</v>
      </c>
      <c r="I120" s="278">
        <f>'survey-time'!J278</f>
        <v>1031.5999999999999</v>
      </c>
      <c r="J120" s="278">
        <f>'survey-time'!K278</f>
        <v>1031.5999999999999</v>
      </c>
      <c r="K120" s="278">
        <f>'survey-time'!L278</f>
        <v>1031.5999999999999</v>
      </c>
      <c r="L120" s="278">
        <f>'survey-time'!M278</f>
        <v>1031.5999999999999</v>
      </c>
      <c r="M120" s="150">
        <f>H120+(I120*(N120-1))</f>
        <v>15680.319999999998</v>
      </c>
      <c r="N120" s="150">
        <f>IF(SUM(H120:L120)=0,15,IF(COUNTIF(H120:L120,"&gt;0")&lt;5,1,15))</f>
        <v>15</v>
      </c>
      <c r="O120" s="150">
        <f>D120*N120</f>
        <v>18</v>
      </c>
    </row>
    <row r="121" spans="1:15" x14ac:dyDescent="0.35">
      <c r="A121" s="167" t="str">
        <f>'survey-time'!B17</f>
        <v>Eastern Prairie Fringed Orchid</v>
      </c>
      <c r="B121" s="166" t="str">
        <f>'survey-time'!C17</f>
        <v>Total</v>
      </c>
      <c r="C121" s="166">
        <f>'survey-time'!D17</f>
        <v>0</v>
      </c>
      <c r="D121" s="233">
        <f>'survey-time'!E17</f>
        <v>5</v>
      </c>
      <c r="E121" s="166">
        <f>'survey-time'!F17</f>
        <v>0</v>
      </c>
      <c r="F121" s="166">
        <f>'survey-time'!G17</f>
        <v>0</v>
      </c>
      <c r="G121" s="166">
        <f>'survey-time'!H17</f>
        <v>0</v>
      </c>
      <c r="H121" s="150">
        <f>'survey-time'!I17</f>
        <v>5658</v>
      </c>
      <c r="I121" s="150">
        <f>'survey-time'!J17</f>
        <v>4126.3999999999996</v>
      </c>
      <c r="J121" s="150">
        <f>'survey-time'!K17</f>
        <v>4126.3999999999996</v>
      </c>
      <c r="K121" s="150">
        <f>'survey-time'!L17</f>
        <v>4126.3999999999996</v>
      </c>
      <c r="L121" s="150">
        <f>'survey-time'!M17</f>
        <v>4126.3999999999996</v>
      </c>
      <c r="M121" s="150">
        <f t="shared" si="6"/>
        <v>63427.599999999991</v>
      </c>
      <c r="N121" s="150">
        <f t="shared" si="7"/>
        <v>15</v>
      </c>
      <c r="O121" s="150">
        <f t="shared" si="8"/>
        <v>75</v>
      </c>
    </row>
    <row r="122" spans="1:15" x14ac:dyDescent="0.35">
      <c r="A122" s="167" t="str">
        <f>'survey-time'!B134</f>
        <v>Fish survey</v>
      </c>
      <c r="B122" s="166" t="str">
        <f>'survey-time'!C134</f>
        <v>Total</v>
      </c>
      <c r="C122" s="166">
        <f>'survey-time'!D134</f>
        <v>0</v>
      </c>
      <c r="D122" s="233">
        <f>'survey-time'!E134</f>
        <v>13</v>
      </c>
      <c r="E122" s="166">
        <f>'survey-time'!F134</f>
        <v>0</v>
      </c>
      <c r="F122" s="166">
        <f>'survey-time'!G134</f>
        <v>0</v>
      </c>
      <c r="G122" s="166">
        <f>'survey-time'!H134</f>
        <v>0</v>
      </c>
      <c r="H122" s="150">
        <f>'survey-time'!I134</f>
        <v>13410.8</v>
      </c>
      <c r="I122" s="150">
        <f>'survey-time'!J134</f>
        <v>11347.599999999999</v>
      </c>
      <c r="J122" s="150">
        <f>'survey-time'!K134</f>
        <v>11347.599999999999</v>
      </c>
      <c r="K122" s="150">
        <f>'survey-time'!L134</f>
        <v>11347.599999999999</v>
      </c>
      <c r="L122" s="150">
        <f>'survey-time'!M134</f>
        <v>11347.599999999999</v>
      </c>
      <c r="M122" s="150">
        <f t="shared" si="6"/>
        <v>172277.19999999995</v>
      </c>
      <c r="N122" s="150">
        <f t="shared" si="7"/>
        <v>15</v>
      </c>
      <c r="O122" s="150">
        <f t="shared" si="8"/>
        <v>195</v>
      </c>
    </row>
    <row r="123" spans="1:15" x14ac:dyDescent="0.35">
      <c r="A123" s="167" t="str">
        <f>'survey-time'!B188</f>
        <v>Forest Ecological Inventory</v>
      </c>
      <c r="B123" s="166" t="str">
        <f>'survey-time'!C188</f>
        <v>Total</v>
      </c>
      <c r="C123" s="166">
        <f>'survey-time'!D188</f>
        <v>0</v>
      </c>
      <c r="D123" s="233">
        <f>'survey-time'!E188</f>
        <v>14</v>
      </c>
      <c r="E123" s="166">
        <f>'survey-time'!F188</f>
        <v>0</v>
      </c>
      <c r="F123" s="166">
        <f>'survey-time'!G188</f>
        <v>0</v>
      </c>
      <c r="G123" s="166">
        <f>'survey-time'!H188</f>
        <v>0</v>
      </c>
      <c r="H123" s="150">
        <f>'survey-time'!I188</f>
        <v>15442.4</v>
      </c>
      <c r="I123" s="150">
        <f>'survey-time'!J188</f>
        <v>0</v>
      </c>
      <c r="J123" s="150">
        <f>'survey-time'!K188</f>
        <v>0</v>
      </c>
      <c r="K123" s="150">
        <f>'survey-time'!L188</f>
        <v>0</v>
      </c>
      <c r="L123" s="150">
        <f>'survey-time'!M188</f>
        <v>0</v>
      </c>
      <c r="M123" s="150">
        <f t="shared" si="6"/>
        <v>15442.4</v>
      </c>
      <c r="N123" s="150">
        <f t="shared" si="7"/>
        <v>1</v>
      </c>
      <c r="O123" s="150">
        <f t="shared" si="8"/>
        <v>14</v>
      </c>
    </row>
    <row r="124" spans="1:15" x14ac:dyDescent="0.35">
      <c r="A124" s="167" t="str">
        <f>'survey-time'!B35</f>
        <v>Fox Snake Survey</v>
      </c>
      <c r="B124" s="166" t="str">
        <f>'survey-time'!C35</f>
        <v>Total</v>
      </c>
      <c r="C124" s="166">
        <f>'survey-time'!D35</f>
        <v>0</v>
      </c>
      <c r="D124" s="233">
        <f>'survey-time'!E35</f>
        <v>16</v>
      </c>
      <c r="E124" s="166">
        <f>'survey-time'!F35</f>
        <v>0</v>
      </c>
      <c r="F124" s="166">
        <f>'survey-time'!G35</f>
        <v>0</v>
      </c>
      <c r="G124" s="166">
        <f>'survey-time'!H35</f>
        <v>0</v>
      </c>
      <c r="H124" s="150">
        <f>'survey-time'!I35</f>
        <v>26745.599999999999</v>
      </c>
      <c r="I124" s="150">
        <f>'survey-time'!J35</f>
        <v>12379.199999999999</v>
      </c>
      <c r="J124" s="150">
        <f>'survey-time'!K35</f>
        <v>12379.199999999999</v>
      </c>
      <c r="K124" s="150">
        <f>'survey-time'!L35</f>
        <v>12379.199999999999</v>
      </c>
      <c r="L124" s="150">
        <f>'survey-time'!M35</f>
        <v>12379.199999999999</v>
      </c>
      <c r="M124" s="150">
        <f t="shared" si="6"/>
        <v>200054.39999999999</v>
      </c>
      <c r="N124" s="150">
        <f t="shared" si="7"/>
        <v>15</v>
      </c>
      <c r="O124" s="150">
        <f t="shared" si="8"/>
        <v>240</v>
      </c>
    </row>
    <row r="125" spans="1:15" x14ac:dyDescent="0.35">
      <c r="A125" s="167" t="str">
        <f>'survey-time'!B143</f>
        <v>Gibraltar Wetlands Forest Invasives Inventory</v>
      </c>
      <c r="B125" s="166" t="str">
        <f>'survey-time'!C143</f>
        <v>Total</v>
      </c>
      <c r="C125" s="166">
        <f>'survey-time'!D143</f>
        <v>0</v>
      </c>
      <c r="D125" s="233">
        <f>'survey-time'!E143</f>
        <v>11</v>
      </c>
      <c r="E125" s="166">
        <f>'survey-time'!F143</f>
        <v>0</v>
      </c>
      <c r="F125" s="166">
        <f>'survey-time'!G143</f>
        <v>0</v>
      </c>
      <c r="G125" s="166">
        <f>'survey-time'!H143</f>
        <v>0</v>
      </c>
      <c r="H125" s="150">
        <f>'survey-time'!I143</f>
        <v>11947.599999999999</v>
      </c>
      <c r="I125" s="150">
        <f>'survey-time'!J143</f>
        <v>9284.4</v>
      </c>
      <c r="J125" s="150">
        <f>'survey-time'!K143</f>
        <v>9284.4</v>
      </c>
      <c r="K125" s="150">
        <f>'survey-time'!L143</f>
        <v>9284.4</v>
      </c>
      <c r="L125" s="150">
        <f>'survey-time'!M143</f>
        <v>9284.4</v>
      </c>
      <c r="M125" s="150">
        <f t="shared" si="6"/>
        <v>141929.19999999998</v>
      </c>
      <c r="N125" s="150">
        <f t="shared" si="7"/>
        <v>15</v>
      </c>
      <c r="O125" s="150">
        <f t="shared" si="8"/>
        <v>165</v>
      </c>
    </row>
    <row r="126" spans="1:15" x14ac:dyDescent="0.35">
      <c r="A126" s="167" t="str">
        <f>'survey-time'!B242</f>
        <v>Grassy Island ground water monitoring</v>
      </c>
      <c r="B126" s="166" t="str">
        <f>'survey-time'!C242</f>
        <v>Total</v>
      </c>
      <c r="C126" s="166">
        <f>'survey-time'!D242</f>
        <v>0</v>
      </c>
      <c r="D126" s="233">
        <f>'survey-time'!E242</f>
        <v>1</v>
      </c>
      <c r="E126" s="166">
        <f>'survey-time'!F242</f>
        <v>0</v>
      </c>
      <c r="F126" s="166">
        <f>'survey-time'!G242</f>
        <v>0</v>
      </c>
      <c r="G126" s="166">
        <f>'survey-time'!H242</f>
        <v>0</v>
      </c>
      <c r="H126" s="150">
        <f>'survey-time'!I242</f>
        <v>1031.5999999999999</v>
      </c>
      <c r="I126" s="150">
        <f>'survey-time'!J242</f>
        <v>1031.5999999999999</v>
      </c>
      <c r="J126" s="150">
        <f>'survey-time'!K242</f>
        <v>1031.5999999999999</v>
      </c>
      <c r="K126" s="150">
        <f>'survey-time'!L242</f>
        <v>1031.5999999999999</v>
      </c>
      <c r="L126" s="150">
        <f>'survey-time'!M242</f>
        <v>1031.5999999999999</v>
      </c>
      <c r="M126" s="150">
        <f t="shared" si="6"/>
        <v>15473.999999999998</v>
      </c>
      <c r="N126" s="150">
        <f t="shared" si="7"/>
        <v>15</v>
      </c>
      <c r="O126" s="150">
        <f t="shared" si="8"/>
        <v>15</v>
      </c>
    </row>
    <row r="127" spans="1:15" x14ac:dyDescent="0.35">
      <c r="A127" s="167" t="str">
        <f>'survey-time'!B233</f>
        <v>HGM</v>
      </c>
      <c r="B127" s="166" t="str">
        <f>'survey-time'!C233</f>
        <v>Total</v>
      </c>
      <c r="C127" s="166">
        <f>'survey-time'!D233</f>
        <v>0</v>
      </c>
      <c r="D127" s="233">
        <f>'survey-time'!E233</f>
        <v>5.1999999999999993</v>
      </c>
      <c r="E127" s="166">
        <f>'survey-time'!F233</f>
        <v>0</v>
      </c>
      <c r="F127" s="166">
        <f>'survey-time'!G233</f>
        <v>0</v>
      </c>
      <c r="G127" s="166">
        <f>'survey-time'!H233</f>
        <v>0</v>
      </c>
      <c r="H127" s="150">
        <f>'survey-time'!I233</f>
        <v>5364.3199999999979</v>
      </c>
      <c r="I127" s="150">
        <f>'survey-time'!J233</f>
        <v>0</v>
      </c>
      <c r="J127" s="150">
        <f>'survey-time'!K233</f>
        <v>0</v>
      </c>
      <c r="K127" s="150">
        <f>'survey-time'!L233</f>
        <v>0</v>
      </c>
      <c r="L127" s="150">
        <f>'survey-time'!M233</f>
        <v>0</v>
      </c>
      <c r="M127" s="150">
        <f t="shared" si="6"/>
        <v>5364.3199999999979</v>
      </c>
      <c r="N127" s="150">
        <f t="shared" si="7"/>
        <v>1</v>
      </c>
      <c r="O127" s="150">
        <f t="shared" si="8"/>
        <v>5.1999999999999993</v>
      </c>
    </row>
    <row r="128" spans="1:15" x14ac:dyDescent="0.35">
      <c r="A128" s="167" t="str">
        <f>'survey-time'!B152</f>
        <v>Humbug Marsh Deer Browse Evaluation</v>
      </c>
      <c r="B128" s="166" t="str">
        <f>'survey-time'!C152</f>
        <v>Total</v>
      </c>
      <c r="C128" s="166">
        <f>'survey-time'!D152</f>
        <v>0</v>
      </c>
      <c r="D128" s="233">
        <f>'survey-time'!E152</f>
        <v>2.9000000000000004</v>
      </c>
      <c r="E128" s="166">
        <f>'survey-time'!F152</f>
        <v>0</v>
      </c>
      <c r="F128" s="166">
        <f>'survey-time'!G152</f>
        <v>0</v>
      </c>
      <c r="G128" s="166">
        <f>'survey-time'!H152</f>
        <v>0</v>
      </c>
      <c r="H128" s="150">
        <f>'survey-time'!I152</f>
        <v>3591.6399999999994</v>
      </c>
      <c r="I128" s="150">
        <f>'survey-time'!J152</f>
        <v>1960.0399999999997</v>
      </c>
      <c r="J128" s="150">
        <f>'survey-time'!K152</f>
        <v>1960.0399999999997</v>
      </c>
      <c r="K128" s="150">
        <f>'survey-time'!L152</f>
        <v>1960.0399999999997</v>
      </c>
      <c r="L128" s="150">
        <f>'survey-time'!M152</f>
        <v>1960.0399999999997</v>
      </c>
      <c r="M128" s="150">
        <f t="shared" si="6"/>
        <v>31032.199999999997</v>
      </c>
      <c r="N128" s="150">
        <f t="shared" si="7"/>
        <v>15</v>
      </c>
      <c r="O128" s="150">
        <f t="shared" si="8"/>
        <v>43.500000000000007</v>
      </c>
    </row>
    <row r="129" spans="1:15" x14ac:dyDescent="0.35">
      <c r="A129" s="167" t="str">
        <f>'survey-time'!B179</f>
        <v>Impoundment water levels</v>
      </c>
      <c r="B129" s="166" t="str">
        <f>'survey-time'!C179</f>
        <v>Total</v>
      </c>
      <c r="C129" s="166">
        <f>'survey-time'!D179</f>
        <v>0</v>
      </c>
      <c r="D129" s="233">
        <f>'survey-time'!E179</f>
        <v>3.8</v>
      </c>
      <c r="E129" s="166">
        <f>'survey-time'!F179</f>
        <v>0</v>
      </c>
      <c r="F129" s="166">
        <f>'survey-time'!G179</f>
        <v>0</v>
      </c>
      <c r="G129" s="166">
        <f>'survey-time'!H179</f>
        <v>0</v>
      </c>
      <c r="H129" s="150">
        <f>'survey-time'!I179</f>
        <v>3920.0799999999995</v>
      </c>
      <c r="I129" s="150">
        <f>'survey-time'!J179</f>
        <v>2888.48</v>
      </c>
      <c r="J129" s="150">
        <f>'survey-time'!K179</f>
        <v>2888.48</v>
      </c>
      <c r="K129" s="150">
        <f>'survey-time'!L179</f>
        <v>2888.48</v>
      </c>
      <c r="L129" s="150">
        <f>'survey-time'!M179</f>
        <v>2888.48</v>
      </c>
      <c r="M129" s="150">
        <f t="shared" si="6"/>
        <v>44358.8</v>
      </c>
      <c r="N129" s="150">
        <f t="shared" si="7"/>
        <v>15</v>
      </c>
      <c r="O129" s="150">
        <f t="shared" si="8"/>
        <v>57</v>
      </c>
    </row>
    <row r="130" spans="1:15" x14ac:dyDescent="0.35">
      <c r="A130" s="167" t="str">
        <f>'survey-time'!B224</f>
        <v xml:space="preserve">Lake sturgeon </v>
      </c>
      <c r="B130" s="166" t="str">
        <f>'survey-time'!C224</f>
        <v>Total</v>
      </c>
      <c r="C130" s="166">
        <f>'survey-time'!D224</f>
        <v>0</v>
      </c>
      <c r="D130" s="233">
        <f>'survey-time'!E224</f>
        <v>0</v>
      </c>
      <c r="E130" s="166">
        <f>'survey-time'!F224</f>
        <v>0</v>
      </c>
      <c r="F130" s="166">
        <f>'survey-time'!G224</f>
        <v>0</v>
      </c>
      <c r="G130" s="166">
        <f>'survey-time'!H224</f>
        <v>0</v>
      </c>
      <c r="H130" s="150">
        <f>'survey-time'!I224</f>
        <v>0</v>
      </c>
      <c r="I130" s="150">
        <f>'survey-time'!J224</f>
        <v>0</v>
      </c>
      <c r="J130" s="150">
        <f>'survey-time'!K224</f>
        <v>0</v>
      </c>
      <c r="K130" s="150">
        <f>'survey-time'!L224</f>
        <v>0</v>
      </c>
      <c r="L130" s="150">
        <f>'survey-time'!M224</f>
        <v>0</v>
      </c>
      <c r="M130" s="150">
        <f t="shared" si="6"/>
        <v>0</v>
      </c>
      <c r="N130" s="150">
        <f t="shared" si="7"/>
        <v>15</v>
      </c>
      <c r="O130" s="150">
        <f t="shared" si="8"/>
        <v>0</v>
      </c>
    </row>
    <row r="131" spans="1:15" x14ac:dyDescent="0.35">
      <c r="A131" s="167" t="str">
        <f>'survey-time'!B215</f>
        <v>Lower Great Lakes January Waterfowl Survey (as part of Mid-Winter Waterfowl Survey)</v>
      </c>
      <c r="B131" s="166" t="str">
        <f>'survey-time'!C215</f>
        <v>Total</v>
      </c>
      <c r="C131" s="166">
        <f>'survey-time'!D215</f>
        <v>0</v>
      </c>
      <c r="D131" s="233">
        <f>'survey-time'!E215</f>
        <v>0</v>
      </c>
      <c r="E131" s="166">
        <f>'survey-time'!F215</f>
        <v>0</v>
      </c>
      <c r="F131" s="166">
        <f>'survey-time'!G215</f>
        <v>0</v>
      </c>
      <c r="G131" s="166">
        <f>'survey-time'!H215</f>
        <v>0</v>
      </c>
      <c r="H131" s="150">
        <f>'survey-time'!I215</f>
        <v>0</v>
      </c>
      <c r="I131" s="150">
        <f>'survey-time'!J215</f>
        <v>0</v>
      </c>
      <c r="J131" s="150">
        <f>'survey-time'!K215</f>
        <v>0</v>
      </c>
      <c r="K131" s="150">
        <f>'survey-time'!L215</f>
        <v>0</v>
      </c>
      <c r="L131" s="150">
        <f>'survey-time'!M215</f>
        <v>0</v>
      </c>
      <c r="M131" s="150">
        <f t="shared" si="6"/>
        <v>0</v>
      </c>
      <c r="N131" s="150">
        <f t="shared" si="7"/>
        <v>15</v>
      </c>
      <c r="O131" s="150">
        <f t="shared" si="8"/>
        <v>0</v>
      </c>
    </row>
    <row r="132" spans="1:15" x14ac:dyDescent="0.35">
      <c r="A132" s="167" t="str">
        <f>'survey-time'!B26</f>
        <v>Marshbird Survey</v>
      </c>
      <c r="B132" s="166" t="str">
        <f>'survey-time'!C26</f>
        <v>Total</v>
      </c>
      <c r="C132" s="166">
        <f>'survey-time'!D26</f>
        <v>0</v>
      </c>
      <c r="D132" s="233">
        <f>'survey-time'!E26</f>
        <v>5.5</v>
      </c>
      <c r="E132" s="166">
        <f>'survey-time'!F26</f>
        <v>0</v>
      </c>
      <c r="F132" s="166">
        <f>'survey-time'!G26</f>
        <v>0</v>
      </c>
      <c r="G132" s="166">
        <f>'survey-time'!H26</f>
        <v>0</v>
      </c>
      <c r="H132" s="150">
        <f>'survey-time'!I26</f>
        <v>6573.7999999999993</v>
      </c>
      <c r="I132" s="150">
        <f>'survey-time'!J26</f>
        <v>4642.1999999999989</v>
      </c>
      <c r="J132" s="150">
        <f>'survey-time'!K26</f>
        <v>4642.1999999999989</v>
      </c>
      <c r="K132" s="150">
        <f>'survey-time'!L26</f>
        <v>4642.1999999999989</v>
      </c>
      <c r="L132" s="150">
        <f>'survey-time'!M26</f>
        <v>4642.1999999999989</v>
      </c>
      <c r="M132" s="150">
        <f t="shared" si="6"/>
        <v>71564.599999999991</v>
      </c>
      <c r="N132" s="150">
        <f t="shared" si="7"/>
        <v>15</v>
      </c>
      <c r="O132" s="150">
        <f t="shared" si="8"/>
        <v>82.5</v>
      </c>
    </row>
    <row r="133" spans="1:15" x14ac:dyDescent="0.35">
      <c r="A133" s="167" t="str">
        <f>'survey-time'!B161</f>
        <v>Multi-agency water quality in the lower Detroit River and the western Lake Erie basin.</v>
      </c>
      <c r="B133" s="166" t="str">
        <f>'survey-time'!C161</f>
        <v>Total</v>
      </c>
      <c r="C133" s="166">
        <f>'survey-time'!D161</f>
        <v>0</v>
      </c>
      <c r="D133" s="233">
        <f>'survey-time'!E161</f>
        <v>48</v>
      </c>
      <c r="E133" s="166">
        <f>'survey-time'!F161</f>
        <v>0</v>
      </c>
      <c r="F133" s="166">
        <f>'survey-time'!G161</f>
        <v>0</v>
      </c>
      <c r="G133" s="166">
        <f>'survey-time'!H161</f>
        <v>0</v>
      </c>
      <c r="H133" s="150">
        <f>'survey-time'!I161</f>
        <v>69516.800000000003</v>
      </c>
      <c r="I133" s="150">
        <f>'survey-time'!J161</f>
        <v>28884.799999999999</v>
      </c>
      <c r="J133" s="150">
        <f>'survey-time'!K161</f>
        <v>28884.799999999999</v>
      </c>
      <c r="K133" s="150">
        <f>'survey-time'!L161</f>
        <v>28884.799999999999</v>
      </c>
      <c r="L133" s="150">
        <f>'survey-time'!M161</f>
        <v>28884.799999999999</v>
      </c>
      <c r="M133" s="150">
        <f t="shared" si="6"/>
        <v>473904</v>
      </c>
      <c r="N133" s="150">
        <f t="shared" si="7"/>
        <v>15</v>
      </c>
      <c r="O133" s="150">
        <f t="shared" si="8"/>
        <v>720</v>
      </c>
    </row>
    <row r="134" spans="1:15" x14ac:dyDescent="0.35">
      <c r="A134" s="167" t="str">
        <f>'survey-time'!B170</f>
        <v>Muskrat Monitoring</v>
      </c>
      <c r="B134" s="166" t="str">
        <f>'survey-time'!C170</f>
        <v>Total</v>
      </c>
      <c r="C134" s="166">
        <f>'survey-time'!D170</f>
        <v>0</v>
      </c>
      <c r="D134" s="233">
        <f>'survey-time'!E170</f>
        <v>0.9</v>
      </c>
      <c r="E134" s="166">
        <f>'survey-time'!F170</f>
        <v>0</v>
      </c>
      <c r="F134" s="166">
        <f>'survey-time'!G170</f>
        <v>0</v>
      </c>
      <c r="G134" s="166">
        <f>'survey-time'!H170</f>
        <v>0</v>
      </c>
      <c r="H134" s="150">
        <f>'survey-time'!I170</f>
        <v>928.43999999999994</v>
      </c>
      <c r="I134" s="150">
        <f>'survey-time'!J170</f>
        <v>670.53999999999985</v>
      </c>
      <c r="J134" s="150">
        <f>'survey-time'!K170</f>
        <v>670.53999999999985</v>
      </c>
      <c r="K134" s="150">
        <f>'survey-time'!L170</f>
        <v>670.53999999999985</v>
      </c>
      <c r="L134" s="150">
        <f>'survey-time'!M170</f>
        <v>670.53999999999985</v>
      </c>
      <c r="M134" s="150">
        <f t="shared" si="6"/>
        <v>10315.999999999998</v>
      </c>
      <c r="N134" s="150">
        <f t="shared" si="7"/>
        <v>15</v>
      </c>
      <c r="O134" s="150">
        <f t="shared" si="8"/>
        <v>13.5</v>
      </c>
    </row>
    <row r="135" spans="1:15" x14ac:dyDescent="0.35">
      <c r="A135" s="167" t="str">
        <f>'survey-time'!B251</f>
        <v>NOAA lake level monitoring</v>
      </c>
      <c r="B135" s="166" t="str">
        <f>'survey-time'!C251</f>
        <v>Total</v>
      </c>
      <c r="C135" s="166">
        <f>'survey-time'!D251</f>
        <v>0</v>
      </c>
      <c r="D135" s="233">
        <f>'survey-time'!E251</f>
        <v>1.5</v>
      </c>
      <c r="E135" s="166">
        <f>'survey-time'!F251</f>
        <v>0</v>
      </c>
      <c r="F135" s="166">
        <f>'survey-time'!G251</f>
        <v>0</v>
      </c>
      <c r="G135" s="166">
        <f>'survey-time'!H251</f>
        <v>0</v>
      </c>
      <c r="H135" s="150">
        <f>'survey-time'!I251</f>
        <v>1547.3999999999999</v>
      </c>
      <c r="I135" s="150">
        <f>'survey-time'!J251</f>
        <v>1237.9199999999998</v>
      </c>
      <c r="J135" s="150">
        <f>'survey-time'!K251</f>
        <v>1237.9199999999998</v>
      </c>
      <c r="K135" s="150">
        <f>'survey-time'!L251</f>
        <v>1237.9199999999998</v>
      </c>
      <c r="L135" s="150">
        <f>'survey-time'!M251</f>
        <v>1237.9199999999998</v>
      </c>
      <c r="M135" s="150">
        <f t="shared" si="6"/>
        <v>18878.28</v>
      </c>
      <c r="N135" s="150">
        <f t="shared" si="7"/>
        <v>15</v>
      </c>
      <c r="O135" s="150">
        <f t="shared" si="8"/>
        <v>22.5</v>
      </c>
    </row>
    <row r="136" spans="1:15" x14ac:dyDescent="0.35">
      <c r="A136" s="167" t="str">
        <f>'survey-time'!B53</f>
        <v>Northern Flicker Survey</v>
      </c>
      <c r="B136" s="166" t="str">
        <f>'survey-time'!C53</f>
        <v>Total</v>
      </c>
      <c r="C136" s="166">
        <f>'survey-time'!D53</f>
        <v>0</v>
      </c>
      <c r="D136" s="233">
        <f>'survey-time'!E53</f>
        <v>6</v>
      </c>
      <c r="E136" s="166">
        <f>'survey-time'!F53</f>
        <v>0</v>
      </c>
      <c r="F136" s="166">
        <f>'survey-time'!G53</f>
        <v>0</v>
      </c>
      <c r="G136" s="166">
        <f>'survey-time'!H53</f>
        <v>0</v>
      </c>
      <c r="H136" s="150">
        <f>'survey-time'!I53</f>
        <v>7589.5999999999985</v>
      </c>
      <c r="I136" s="150">
        <f>'survey-time'!J53</f>
        <v>5242.1999999999989</v>
      </c>
      <c r="J136" s="150">
        <f>'survey-time'!K53</f>
        <v>5242.1999999999989</v>
      </c>
      <c r="K136" s="150">
        <f>'survey-time'!L53</f>
        <v>5242.1999999999989</v>
      </c>
      <c r="L136" s="150">
        <f>'survey-time'!M53</f>
        <v>5242.1999999999989</v>
      </c>
      <c r="M136" s="150">
        <f t="shared" si="6"/>
        <v>80980.399999999994</v>
      </c>
      <c r="N136" s="150">
        <f t="shared" si="7"/>
        <v>15</v>
      </c>
      <c r="O136" s="150">
        <f t="shared" si="8"/>
        <v>90</v>
      </c>
    </row>
    <row r="137" spans="1:15" x14ac:dyDescent="0.35">
      <c r="A137" s="167" t="str">
        <f>'survey-time'!B116</f>
        <v xml:space="preserve">Phragmites Reduction: Comparison via remote-sensing of 2017 Imagery to 2009 Baseline </v>
      </c>
      <c r="B137" s="166" t="str">
        <f>'survey-time'!C116</f>
        <v>Total</v>
      </c>
      <c r="C137" s="166">
        <f>'survey-time'!D116</f>
        <v>0</v>
      </c>
      <c r="D137" s="233">
        <f>'survey-time'!E116</f>
        <v>53</v>
      </c>
      <c r="E137" s="166">
        <f>'survey-time'!F116</f>
        <v>0</v>
      </c>
      <c r="F137" s="166">
        <f>'survey-time'!G116</f>
        <v>0</v>
      </c>
      <c r="G137" s="166">
        <f>'survey-time'!H116</f>
        <v>0</v>
      </c>
      <c r="H137" s="150">
        <f>'survey-time'!I116</f>
        <v>58474.799999999988</v>
      </c>
      <c r="I137" s="150">
        <f>'survey-time'!J116</f>
        <v>0</v>
      </c>
      <c r="J137" s="150">
        <f>'survey-time'!K116</f>
        <v>0</v>
      </c>
      <c r="K137" s="150">
        <f>'survey-time'!L116</f>
        <v>0</v>
      </c>
      <c r="L137" s="150">
        <f>'survey-time'!M116</f>
        <v>0</v>
      </c>
      <c r="M137" s="150">
        <f t="shared" si="6"/>
        <v>58474.799999999988</v>
      </c>
      <c r="N137" s="150">
        <f t="shared" si="7"/>
        <v>1</v>
      </c>
      <c r="O137" s="150">
        <f t="shared" si="8"/>
        <v>53</v>
      </c>
    </row>
    <row r="138" spans="1:15" x14ac:dyDescent="0.35">
      <c r="A138" s="167" t="str">
        <f>'survey-time'!B62</f>
        <v>Rusty Blackbird Survey</v>
      </c>
      <c r="B138" s="166" t="str">
        <f>'survey-time'!C62</f>
        <v>Total</v>
      </c>
      <c r="C138" s="166">
        <f>'survey-time'!D62</f>
        <v>0</v>
      </c>
      <c r="D138" s="233">
        <f>'survey-time'!E62</f>
        <v>5.5</v>
      </c>
      <c r="E138" s="166">
        <f>'survey-time'!F62</f>
        <v>0</v>
      </c>
      <c r="F138" s="166">
        <f>'survey-time'!G62</f>
        <v>0</v>
      </c>
      <c r="G138" s="166">
        <f>'survey-time'!H62</f>
        <v>0</v>
      </c>
      <c r="H138" s="150">
        <f>'survey-time'!I62</f>
        <v>7073.7999999999993</v>
      </c>
      <c r="I138" s="150">
        <f>'survey-time'!J62</f>
        <v>5242.1999999999989</v>
      </c>
      <c r="J138" s="150">
        <f>'survey-time'!K62</f>
        <v>5242.1999999999989</v>
      </c>
      <c r="K138" s="150">
        <f>'survey-time'!L62</f>
        <v>5242.1999999999989</v>
      </c>
      <c r="L138" s="150">
        <f>'survey-time'!M62</f>
        <v>5242.1999999999989</v>
      </c>
      <c r="M138" s="150">
        <f t="shared" si="6"/>
        <v>80464.599999999991</v>
      </c>
      <c r="N138" s="150">
        <f t="shared" si="7"/>
        <v>15</v>
      </c>
      <c r="O138" s="150">
        <f t="shared" si="8"/>
        <v>82.5</v>
      </c>
    </row>
    <row r="139" spans="1:15" x14ac:dyDescent="0.35">
      <c r="A139" s="167" t="str">
        <f>'survey-time'!B80</f>
        <v>Shorebird Survey</v>
      </c>
      <c r="B139" s="166" t="str">
        <f>'survey-time'!C80</f>
        <v>Total</v>
      </c>
      <c r="C139" s="166">
        <f>'survey-time'!D80</f>
        <v>0</v>
      </c>
      <c r="D139" s="233">
        <f>'survey-time'!E80</f>
        <v>5.5</v>
      </c>
      <c r="E139" s="166">
        <f>'survey-time'!F80</f>
        <v>0</v>
      </c>
      <c r="F139" s="166">
        <f>'survey-time'!G80</f>
        <v>0</v>
      </c>
      <c r="G139" s="166">
        <f>'survey-time'!H80</f>
        <v>0</v>
      </c>
      <c r="H139" s="150">
        <f>'survey-time'!I80</f>
        <v>7073.7999999999993</v>
      </c>
      <c r="I139" s="150">
        <f>'survey-time'!J80</f>
        <v>5242.1999999999989</v>
      </c>
      <c r="J139" s="150">
        <f>'survey-time'!K80</f>
        <v>5242.1999999999989</v>
      </c>
      <c r="K139" s="150">
        <f>'survey-time'!L80</f>
        <v>5242.1999999999989</v>
      </c>
      <c r="L139" s="150">
        <f>'survey-time'!M80</f>
        <v>5242.1999999999989</v>
      </c>
      <c r="M139" s="150">
        <f t="shared" si="6"/>
        <v>80464.599999999991</v>
      </c>
      <c r="N139" s="150">
        <f t="shared" si="7"/>
        <v>15</v>
      </c>
      <c r="O139" s="150">
        <f t="shared" si="8"/>
        <v>82.5</v>
      </c>
    </row>
    <row r="140" spans="1:15" x14ac:dyDescent="0.35">
      <c r="A140" s="167" t="str">
        <f>'survey-time'!B89</f>
        <v>Treatment Evaluation of Phragmites, invasive cattail, reed canary grass</v>
      </c>
      <c r="B140" s="166" t="str">
        <f>'survey-time'!C89</f>
        <v>Total</v>
      </c>
      <c r="C140" s="166">
        <f>'survey-time'!D89</f>
        <v>0</v>
      </c>
      <c r="D140" s="233">
        <f>'survey-time'!E89</f>
        <v>6.5</v>
      </c>
      <c r="E140" s="166">
        <f>'survey-time'!F89</f>
        <v>0</v>
      </c>
      <c r="F140" s="166">
        <f>'survey-time'!G89</f>
        <v>0</v>
      </c>
      <c r="G140" s="166">
        <f>'survey-time'!H89</f>
        <v>0</v>
      </c>
      <c r="H140" s="150">
        <f>'survey-time'!I89</f>
        <v>8105.4</v>
      </c>
      <c r="I140" s="150">
        <f>'survey-time'!J89</f>
        <v>6273.7999999999993</v>
      </c>
      <c r="J140" s="150">
        <f>'survey-time'!K89</f>
        <v>6273.7999999999993</v>
      </c>
      <c r="K140" s="150">
        <f>'survey-time'!L89</f>
        <v>6273.7999999999993</v>
      </c>
      <c r="L140" s="150">
        <f>'survey-time'!M89</f>
        <v>6273.7999999999993</v>
      </c>
      <c r="M140" s="150">
        <f t="shared" si="6"/>
        <v>95938.599999999977</v>
      </c>
      <c r="N140" s="150">
        <f t="shared" si="7"/>
        <v>15</v>
      </c>
      <c r="O140" s="150">
        <f t="shared" si="8"/>
        <v>97.5</v>
      </c>
    </row>
    <row r="141" spans="1:15" x14ac:dyDescent="0.35">
      <c r="A141" s="167" t="str">
        <f>'survey-time'!B260</f>
        <v>USGS stream gauge monitoring</v>
      </c>
      <c r="B141" s="166" t="str">
        <f>'survey-time'!C260</f>
        <v>Total</v>
      </c>
      <c r="C141" s="166">
        <f>'survey-time'!D260</f>
        <v>0</v>
      </c>
      <c r="D141" s="233">
        <f>'survey-time'!E260</f>
        <v>1.5</v>
      </c>
      <c r="E141" s="166">
        <f>'survey-time'!F260</f>
        <v>0</v>
      </c>
      <c r="F141" s="166">
        <f>'survey-time'!G260</f>
        <v>0</v>
      </c>
      <c r="G141" s="166">
        <f>'survey-time'!H260</f>
        <v>0</v>
      </c>
      <c r="H141" s="150">
        <f>'survey-time'!I260</f>
        <v>1547.3999999999999</v>
      </c>
      <c r="I141" s="150">
        <f>'survey-time'!J260</f>
        <v>1237.9199999999998</v>
      </c>
      <c r="J141" s="150">
        <f>'survey-time'!K260</f>
        <v>1237.9199999999998</v>
      </c>
      <c r="K141" s="150">
        <f>'survey-time'!L260</f>
        <v>1237.9199999999998</v>
      </c>
      <c r="L141" s="150">
        <f>'survey-time'!M260</f>
        <v>1237.9199999999998</v>
      </c>
      <c r="M141" s="150">
        <f t="shared" si="6"/>
        <v>18878.28</v>
      </c>
      <c r="N141" s="150">
        <f t="shared" si="7"/>
        <v>15</v>
      </c>
      <c r="O141" s="150">
        <f t="shared" si="8"/>
        <v>22.5</v>
      </c>
    </row>
    <row r="142" spans="1:15" x14ac:dyDescent="0.35">
      <c r="A142" s="167" t="str">
        <f>'survey-time'!B125</f>
        <v>Waterfowl survey</v>
      </c>
      <c r="B142" s="166" t="str">
        <f>'survey-time'!C125</f>
        <v>Total</v>
      </c>
      <c r="C142" s="166">
        <f>'survey-time'!D125</f>
        <v>0</v>
      </c>
      <c r="D142" s="233">
        <f>'survey-time'!E125</f>
        <v>5.5</v>
      </c>
      <c r="E142" s="166">
        <f>'survey-time'!F125</f>
        <v>0</v>
      </c>
      <c r="F142" s="166">
        <f>'survey-time'!G125</f>
        <v>0</v>
      </c>
      <c r="G142" s="166">
        <f>'survey-time'!H125</f>
        <v>0</v>
      </c>
      <c r="H142" s="150">
        <f>'survey-time'!I125</f>
        <v>7073.7999999999993</v>
      </c>
      <c r="I142" s="150">
        <f>'survey-time'!J125</f>
        <v>5242.1999999999989</v>
      </c>
      <c r="J142" s="150">
        <f>'survey-time'!K125</f>
        <v>5242.1999999999989</v>
      </c>
      <c r="K142" s="150">
        <f>'survey-time'!L125</f>
        <v>5242.1999999999989</v>
      </c>
      <c r="L142" s="150">
        <f>'survey-time'!M125</f>
        <v>5242.1999999999989</v>
      </c>
      <c r="M142" s="150">
        <f t="shared" si="6"/>
        <v>80464.599999999991</v>
      </c>
      <c r="N142" s="150">
        <f t="shared" si="7"/>
        <v>15</v>
      </c>
      <c r="O142" s="150">
        <f t="shared" si="8"/>
        <v>82.5</v>
      </c>
    </row>
    <row r="143" spans="1:15" x14ac:dyDescent="0.35">
      <c r="A143" s="167" t="s">
        <v>61</v>
      </c>
      <c r="B143" s="166" t="str">
        <f>'survey-time'!C107</f>
        <v>Total</v>
      </c>
      <c r="C143" s="166">
        <f>'survey-time'!D107</f>
        <v>0</v>
      </c>
      <c r="D143" s="233">
        <f>'survey-time'!E107</f>
        <v>7</v>
      </c>
      <c r="E143" s="166">
        <f>'survey-time'!F107</f>
        <v>0</v>
      </c>
      <c r="F143" s="166">
        <f>'survey-time'!G107</f>
        <v>0</v>
      </c>
      <c r="G143" s="166">
        <f>'survey-time'!H107</f>
        <v>0</v>
      </c>
      <c r="H143" s="150">
        <f>'survey-time'!I107</f>
        <v>8621.1999999999989</v>
      </c>
      <c r="I143" s="150">
        <f>'survey-time'!J107</f>
        <v>6789.6</v>
      </c>
      <c r="J143" s="150">
        <f>'survey-time'!K107</f>
        <v>6789.6</v>
      </c>
      <c r="K143" s="150">
        <f>'survey-time'!L107</f>
        <v>6789.6</v>
      </c>
      <c r="L143" s="150">
        <f>'survey-time'!M107</f>
        <v>6789.6</v>
      </c>
      <c r="M143" s="150">
        <f>H143+(I143*(N143-1))</f>
        <v>35779.599999999999</v>
      </c>
      <c r="N143" s="150">
        <v>5</v>
      </c>
      <c r="O143" s="150">
        <f>D143*N143</f>
        <v>35</v>
      </c>
    </row>
    <row r="144" spans="1:15" x14ac:dyDescent="0.35">
      <c r="A144" s="167" t="str">
        <f>'survey-time'!B98</f>
        <v>Wetland Vegetation Cover Survey with annual summary of mean daily Lake Erie water level/water level management.</v>
      </c>
      <c r="B144" s="166" t="str">
        <f>'survey-time'!C98</f>
        <v>Total</v>
      </c>
      <c r="C144" s="166">
        <f>'survey-time'!D98</f>
        <v>0</v>
      </c>
      <c r="D144" s="233">
        <f>'survey-time'!E98</f>
        <v>8</v>
      </c>
      <c r="E144" s="166">
        <f>'survey-time'!F98</f>
        <v>0</v>
      </c>
      <c r="F144" s="166">
        <f>'survey-time'!G98</f>
        <v>0</v>
      </c>
      <c r="G144" s="166">
        <f>'survey-time'!H98</f>
        <v>0</v>
      </c>
      <c r="H144" s="150">
        <f>'survey-time'!I98</f>
        <v>9652.7999999999993</v>
      </c>
      <c r="I144" s="150">
        <f>'survey-time'!J98</f>
        <v>7821.2</v>
      </c>
      <c r="J144" s="150">
        <f>'survey-time'!K98</f>
        <v>7821.2</v>
      </c>
      <c r="K144" s="150">
        <f>'survey-time'!L98</f>
        <v>7821.2</v>
      </c>
      <c r="L144" s="150">
        <f>'survey-time'!M98</f>
        <v>7821.2</v>
      </c>
      <c r="M144" s="150">
        <f t="shared" si="6"/>
        <v>119149.6</v>
      </c>
      <c r="N144" s="150">
        <f t="shared" si="7"/>
        <v>15</v>
      </c>
      <c r="O144" s="150">
        <f t="shared" si="8"/>
        <v>120</v>
      </c>
    </row>
  </sheetData>
  <sortState xmlns:xlrd2="http://schemas.microsoft.com/office/spreadsheetml/2017/richdata2" ref="A44:F74">
    <sortCondition ref="A44:A74"/>
  </sortState>
  <mergeCells count="4">
    <mergeCell ref="A40:M40"/>
    <mergeCell ref="A77:F77"/>
    <mergeCell ref="A112:M112"/>
    <mergeCell ref="A42:F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pageSetUpPr fitToPage="1"/>
  </sheetPr>
  <dimension ref="A1:Y40"/>
  <sheetViews>
    <sheetView zoomScaleNormal="100" workbookViewId="0">
      <pane xSplit="7" ySplit="3" topLeftCell="O4" activePane="bottomRight" state="frozen"/>
      <selection pane="topRight" activeCell="I1" sqref="I1"/>
      <selection pane="bottomLeft" activeCell="A4" sqref="A4"/>
      <selection pane="bottomRight" activeCell="Y31" sqref="Y31"/>
    </sheetView>
  </sheetViews>
  <sheetFormatPr defaultColWidth="8.86328125" defaultRowHeight="14.25" x14ac:dyDescent="0.45"/>
  <cols>
    <col min="1" max="1" width="8.59765625" style="220" customWidth="1"/>
    <col min="2" max="2" width="70.265625" style="196" customWidth="1"/>
    <col min="3" max="4" width="8" style="196" customWidth="1"/>
    <col min="5" max="5" width="6.3984375" style="196" customWidth="1"/>
    <col min="6" max="6" width="7.265625" style="196" customWidth="1"/>
    <col min="7" max="7" width="5.265625" style="196" customWidth="1"/>
    <col min="8" max="8" width="12.265625" style="196" customWidth="1"/>
    <col min="9" max="9" width="7.265625" style="196" customWidth="1"/>
    <col min="10" max="10" width="8.3984375" style="196" customWidth="1"/>
    <col min="11" max="11" width="11.59765625" style="196" customWidth="1"/>
    <col min="12" max="12" width="9.73046875" style="196" customWidth="1"/>
    <col min="13" max="13" width="10.3984375" style="196" customWidth="1"/>
    <col min="14" max="14" width="9.3984375" style="196" customWidth="1"/>
    <col min="15" max="20" width="9.59765625" style="196" customWidth="1"/>
    <col min="21" max="21" width="10" style="196" customWidth="1"/>
    <col min="22" max="22" width="10.73046875" style="196" customWidth="1"/>
    <col min="23" max="23" width="16.1328125" style="196" customWidth="1"/>
    <col min="24" max="16384" width="8.86328125" style="196"/>
  </cols>
  <sheetData>
    <row r="1" spans="1:25" ht="33" customHeight="1" thickBot="1" x14ac:dyDescent="0.6">
      <c r="A1" s="256" t="s">
        <v>235</v>
      </c>
      <c r="B1" s="323"/>
      <c r="C1" s="323"/>
      <c r="D1" s="323"/>
      <c r="E1" s="323"/>
      <c r="F1" s="323"/>
      <c r="H1" s="265"/>
      <c r="I1" s="265" t="s">
        <v>236</v>
      </c>
      <c r="J1" s="265" t="s">
        <v>236</v>
      </c>
      <c r="K1" s="265" t="s">
        <v>236</v>
      </c>
      <c r="L1" s="265" t="s">
        <v>236</v>
      </c>
      <c r="M1" s="265" t="s">
        <v>236</v>
      </c>
      <c r="N1" s="265">
        <v>2</v>
      </c>
      <c r="O1" s="265">
        <v>3</v>
      </c>
      <c r="P1" s="265">
        <v>1</v>
      </c>
      <c r="Q1" s="265">
        <v>2</v>
      </c>
      <c r="R1" s="196">
        <v>4</v>
      </c>
      <c r="S1" s="196">
        <v>2</v>
      </c>
      <c r="U1" s="265"/>
      <c r="V1" s="362" t="s">
        <v>237</v>
      </c>
      <c r="W1" s="362"/>
    </row>
    <row r="2" spans="1:25" ht="76.5" customHeight="1" x14ac:dyDescent="0.45">
      <c r="A2" s="196"/>
      <c r="B2" s="220"/>
      <c r="C2" s="255"/>
      <c r="D2" s="255"/>
      <c r="E2" s="255"/>
      <c r="F2" s="255"/>
      <c r="G2" s="255"/>
      <c r="H2" s="260" t="s">
        <v>238</v>
      </c>
      <c r="I2" s="260" t="s">
        <v>239</v>
      </c>
      <c r="J2" s="260" t="s">
        <v>240</v>
      </c>
      <c r="K2" s="260" t="s">
        <v>241</v>
      </c>
      <c r="L2" s="260" t="s">
        <v>242</v>
      </c>
      <c r="M2" s="260" t="s">
        <v>243</v>
      </c>
      <c r="N2" s="260" t="s">
        <v>244</v>
      </c>
      <c r="O2" s="260" t="s">
        <v>245</v>
      </c>
      <c r="P2" s="260" t="s">
        <v>246</v>
      </c>
      <c r="Q2" s="260" t="s">
        <v>247</v>
      </c>
      <c r="R2" s="260" t="s">
        <v>248</v>
      </c>
      <c r="S2" s="260" t="s">
        <v>249</v>
      </c>
      <c r="T2" s="260" t="s">
        <v>250</v>
      </c>
      <c r="U2" s="260" t="s">
        <v>251</v>
      </c>
      <c r="V2" s="293" t="s">
        <v>252</v>
      </c>
      <c r="W2" s="294" t="s">
        <v>253</v>
      </c>
    </row>
    <row r="3" spans="1:25" ht="28.5" x14ac:dyDescent="0.45">
      <c r="A3" s="261" t="s">
        <v>254</v>
      </c>
      <c r="B3" s="262" t="s">
        <v>148</v>
      </c>
      <c r="C3" s="257" t="s">
        <v>255</v>
      </c>
      <c r="D3" s="257" t="s">
        <v>213</v>
      </c>
      <c r="E3" s="257" t="s">
        <v>256</v>
      </c>
      <c r="F3" s="257" t="s">
        <v>257</v>
      </c>
      <c r="G3" s="257" t="s">
        <v>258</v>
      </c>
      <c r="H3" s="258" t="s">
        <v>259</v>
      </c>
      <c r="I3" s="258" t="s">
        <v>260</v>
      </c>
      <c r="J3" s="258" t="s">
        <v>261</v>
      </c>
      <c r="K3" s="258" t="s">
        <v>262</v>
      </c>
      <c r="L3" s="258" t="s">
        <v>263</v>
      </c>
      <c r="M3" s="258" t="s">
        <v>264</v>
      </c>
      <c r="N3" s="258" t="s">
        <v>265</v>
      </c>
      <c r="O3" s="258" t="s">
        <v>266</v>
      </c>
      <c r="P3" s="258" t="s">
        <v>267</v>
      </c>
      <c r="Q3" s="258" t="s">
        <v>268</v>
      </c>
      <c r="R3" s="258" t="s">
        <v>269</v>
      </c>
      <c r="S3" s="258" t="s">
        <v>270</v>
      </c>
      <c r="T3" s="258" t="s">
        <v>271</v>
      </c>
      <c r="U3" s="258" t="s">
        <v>272</v>
      </c>
      <c r="V3" s="295" t="s">
        <v>273</v>
      </c>
      <c r="W3" s="296"/>
    </row>
    <row r="4" spans="1:25" ht="15.75" customHeight="1" x14ac:dyDescent="0.45">
      <c r="A4" s="244">
        <v>1</v>
      </c>
      <c r="B4" s="269" t="s">
        <v>77</v>
      </c>
      <c r="C4" s="245">
        <f>'survey characteristics'!F2</f>
        <v>0.56525668835864062</v>
      </c>
      <c r="D4" s="246">
        <f>'survey characteristics'!C2</f>
        <v>11.25</v>
      </c>
      <c r="E4" s="247">
        <f>'survey characteristics'!E2</f>
        <v>15</v>
      </c>
      <c r="F4" s="247">
        <f>'survey characteristics'!H2</f>
        <v>6</v>
      </c>
      <c r="G4" s="247">
        <f>D4/C4</f>
        <v>19.902462424048608</v>
      </c>
      <c r="H4" s="327">
        <v>0</v>
      </c>
      <c r="I4" s="327">
        <v>0</v>
      </c>
      <c r="J4" s="327">
        <v>0</v>
      </c>
      <c r="K4" s="327">
        <v>0</v>
      </c>
      <c r="L4" s="327">
        <v>0</v>
      </c>
      <c r="M4" s="327">
        <v>0</v>
      </c>
      <c r="N4" s="327">
        <v>0</v>
      </c>
      <c r="O4" s="327">
        <v>0</v>
      </c>
      <c r="P4" s="327">
        <v>0</v>
      </c>
      <c r="Q4" s="327">
        <v>0</v>
      </c>
      <c r="R4" s="327">
        <v>0</v>
      </c>
      <c r="S4" s="327">
        <v>0</v>
      </c>
      <c r="T4" s="327">
        <v>0</v>
      </c>
      <c r="U4" s="327">
        <v>1</v>
      </c>
      <c r="V4" s="328">
        <v>1</v>
      </c>
      <c r="W4" s="329" t="s">
        <v>274</v>
      </c>
    </row>
    <row r="5" spans="1:25" s="244" customFormat="1" ht="15.75" customHeight="1" x14ac:dyDescent="0.45">
      <c r="A5" s="244">
        <v>2</v>
      </c>
      <c r="B5" s="269" t="str">
        <f>'survey characteristics'!A3</f>
        <v>American Woodcock Survey</v>
      </c>
      <c r="C5" s="245">
        <f>'survey characteristics'!F3</f>
        <v>0.48879248011569054</v>
      </c>
      <c r="D5" s="246">
        <f>'survey characteristics'!C3</f>
        <v>82.5</v>
      </c>
      <c r="E5" s="247">
        <f>'survey characteristics'!E3</f>
        <v>15</v>
      </c>
      <c r="F5" s="247">
        <f>'survey characteristics'!H3</f>
        <v>10</v>
      </c>
      <c r="G5" s="247">
        <f t="shared" ref="G5:G34" si="0">D5/C5</f>
        <v>168.78328402366864</v>
      </c>
      <c r="H5" s="327">
        <v>0</v>
      </c>
      <c r="I5" s="327">
        <v>0</v>
      </c>
      <c r="J5" s="327">
        <v>1</v>
      </c>
      <c r="K5" s="327">
        <v>0</v>
      </c>
      <c r="L5" s="327">
        <v>0</v>
      </c>
      <c r="M5" s="327">
        <v>0</v>
      </c>
      <c r="N5" s="327">
        <v>0</v>
      </c>
      <c r="O5" s="327">
        <v>0</v>
      </c>
      <c r="P5" s="327">
        <v>0</v>
      </c>
      <c r="Q5" s="327">
        <v>0</v>
      </c>
      <c r="R5" s="327">
        <v>0</v>
      </c>
      <c r="S5" s="327">
        <v>0</v>
      </c>
      <c r="T5" s="327">
        <v>1</v>
      </c>
      <c r="U5" s="327">
        <v>0</v>
      </c>
      <c r="V5" s="328">
        <v>0</v>
      </c>
      <c r="W5" s="315"/>
      <c r="X5" s="196"/>
      <c r="Y5" s="196"/>
    </row>
    <row r="6" spans="1:25" ht="15.75" customHeight="1" x14ac:dyDescent="0.45">
      <c r="A6" s="244">
        <v>3</v>
      </c>
      <c r="B6" s="269" t="str">
        <f>'survey characteristics'!A4</f>
        <v>Bald Eagle Monitoring</v>
      </c>
      <c r="C6" s="245">
        <f>'survey characteristics'!F4</f>
        <v>0.44649313087490961</v>
      </c>
      <c r="D6" s="246">
        <f>'survey characteristics'!C4</f>
        <v>7.5</v>
      </c>
      <c r="E6" s="247">
        <f>'survey characteristics'!E4</f>
        <v>15</v>
      </c>
      <c r="F6" s="247">
        <f>'survey characteristics'!H4</f>
        <v>12</v>
      </c>
      <c r="G6" s="247">
        <f t="shared" si="0"/>
        <v>16.79757085020243</v>
      </c>
      <c r="H6" s="327">
        <v>1</v>
      </c>
      <c r="I6" s="327">
        <v>1</v>
      </c>
      <c r="J6" s="327">
        <v>0</v>
      </c>
      <c r="K6" s="327">
        <v>1</v>
      </c>
      <c r="L6" s="327">
        <v>1</v>
      </c>
      <c r="M6" s="327">
        <v>1</v>
      </c>
      <c r="N6" s="327">
        <v>1</v>
      </c>
      <c r="O6" s="327">
        <v>1</v>
      </c>
      <c r="P6" s="327">
        <v>0</v>
      </c>
      <c r="Q6" s="327">
        <v>0</v>
      </c>
      <c r="R6" s="327">
        <v>0</v>
      </c>
      <c r="S6" s="327">
        <v>0</v>
      </c>
      <c r="T6" s="327">
        <v>0</v>
      </c>
      <c r="U6" s="327">
        <v>1</v>
      </c>
      <c r="V6" s="328">
        <v>0</v>
      </c>
      <c r="W6" s="330"/>
    </row>
    <row r="7" spans="1:25" ht="15.75" customHeight="1" x14ac:dyDescent="0.45">
      <c r="A7" s="244">
        <v>4</v>
      </c>
      <c r="B7" s="269" t="str">
        <f>'survey characteristics'!A5</f>
        <v>Blanding's Turtle Survey</v>
      </c>
      <c r="C7" s="245">
        <f>'survey characteristics'!F5</f>
        <v>0.24566160520607375</v>
      </c>
      <c r="D7" s="246">
        <f>'survey characteristics'!C5</f>
        <v>240</v>
      </c>
      <c r="E7" s="247">
        <f>'survey characteristics'!E5</f>
        <v>15</v>
      </c>
      <c r="F7" s="247">
        <f>'survey characteristics'!H5</f>
        <v>29</v>
      </c>
      <c r="G7" s="247">
        <f t="shared" si="0"/>
        <v>976.95364238410593</v>
      </c>
      <c r="H7" s="327">
        <v>0</v>
      </c>
      <c r="I7" s="327">
        <v>0</v>
      </c>
      <c r="J7" s="327">
        <v>0</v>
      </c>
      <c r="K7" s="327">
        <v>0</v>
      </c>
      <c r="L7" s="327">
        <v>0</v>
      </c>
      <c r="M7" s="327">
        <v>0</v>
      </c>
      <c r="N7" s="327">
        <v>0</v>
      </c>
      <c r="O7" s="327">
        <v>0</v>
      </c>
      <c r="P7" s="327">
        <v>0</v>
      </c>
      <c r="Q7" s="327">
        <v>0</v>
      </c>
      <c r="R7" s="327">
        <v>0</v>
      </c>
      <c r="S7" s="327">
        <v>0</v>
      </c>
      <c r="T7" s="327">
        <v>0</v>
      </c>
      <c r="U7" s="327">
        <v>0</v>
      </c>
      <c r="V7" s="328">
        <v>0</v>
      </c>
      <c r="W7" s="297"/>
    </row>
    <row r="8" spans="1:25" ht="15.75" customHeight="1" x14ac:dyDescent="0.45">
      <c r="A8" s="244">
        <v>5</v>
      </c>
      <c r="B8" s="269" t="s">
        <v>79</v>
      </c>
      <c r="C8" s="245">
        <f>'survey characteristics'!F6</f>
        <v>0.32248734634851767</v>
      </c>
      <c r="D8" s="246">
        <f>'survey characteristics'!C6</f>
        <v>10.5</v>
      </c>
      <c r="E8" s="247">
        <f>'survey characteristics'!E6</f>
        <v>15</v>
      </c>
      <c r="F8" s="247">
        <f>'survey characteristics'!H6</f>
        <v>24</v>
      </c>
      <c r="G8" s="247">
        <f t="shared" ref="G8" si="1">D8/C8</f>
        <v>32.559417040358753</v>
      </c>
      <c r="H8" s="327">
        <v>0</v>
      </c>
      <c r="I8" s="327">
        <v>0</v>
      </c>
      <c r="J8" s="327">
        <v>0</v>
      </c>
      <c r="K8" s="327">
        <v>0</v>
      </c>
      <c r="L8" s="327">
        <v>0</v>
      </c>
      <c r="M8" s="327">
        <v>0</v>
      </c>
      <c r="N8" s="327">
        <v>0</v>
      </c>
      <c r="O8" s="327">
        <v>0</v>
      </c>
      <c r="P8" s="327">
        <v>0</v>
      </c>
      <c r="Q8" s="327">
        <v>0</v>
      </c>
      <c r="R8" s="327">
        <v>0</v>
      </c>
      <c r="S8" s="327">
        <v>0</v>
      </c>
      <c r="T8" s="327">
        <v>0</v>
      </c>
      <c r="U8" s="327">
        <v>1</v>
      </c>
      <c r="V8" s="328">
        <v>0</v>
      </c>
      <c r="W8" s="330"/>
    </row>
    <row r="9" spans="1:25" ht="15.75" customHeight="1" x14ac:dyDescent="0.45">
      <c r="A9" s="244">
        <v>6</v>
      </c>
      <c r="B9" s="269" t="str">
        <f>'survey characteristics'!A7</f>
        <v>Coordinated Canvasback Survey</v>
      </c>
      <c r="C9" s="245">
        <f>'survey characteristics'!F7</f>
        <v>0.39614967462039041</v>
      </c>
      <c r="D9" s="246">
        <f>'survey characteristics'!C7</f>
        <v>0</v>
      </c>
      <c r="E9" s="247">
        <f>'survey characteristics'!E7</f>
        <v>15</v>
      </c>
      <c r="F9" s="247">
        <f>'survey characteristics'!H7</f>
        <v>20</v>
      </c>
      <c r="G9" s="247">
        <f t="shared" si="0"/>
        <v>0</v>
      </c>
      <c r="H9" s="327">
        <v>1</v>
      </c>
      <c r="I9" s="327">
        <v>1</v>
      </c>
      <c r="J9" s="327">
        <v>1</v>
      </c>
      <c r="K9" s="327">
        <v>1</v>
      </c>
      <c r="L9" s="327">
        <v>1</v>
      </c>
      <c r="M9" s="327">
        <v>1</v>
      </c>
      <c r="N9" s="327">
        <v>1</v>
      </c>
      <c r="O9" s="327">
        <v>1</v>
      </c>
      <c r="P9" s="327">
        <v>0</v>
      </c>
      <c r="Q9" s="327">
        <v>0</v>
      </c>
      <c r="R9" s="327">
        <v>0</v>
      </c>
      <c r="S9" s="327">
        <v>0</v>
      </c>
      <c r="T9" s="327">
        <v>0</v>
      </c>
      <c r="U9" s="327">
        <v>1</v>
      </c>
      <c r="V9" s="328">
        <v>0</v>
      </c>
      <c r="W9" s="297"/>
    </row>
    <row r="10" spans="1:25" ht="15.75" customHeight="1" x14ac:dyDescent="0.45">
      <c r="A10" s="244">
        <v>7</v>
      </c>
      <c r="B10" s="269" t="s">
        <v>78</v>
      </c>
      <c r="C10" s="245">
        <f>'survey characteristics'!F8</f>
        <v>0.21484092552422268</v>
      </c>
      <c r="D10" s="246">
        <f>'survey characteristics'!C8</f>
        <v>18</v>
      </c>
      <c r="E10" s="247">
        <f>'survey characteristics'!E8</f>
        <v>15</v>
      </c>
      <c r="F10" s="247">
        <f>'survey characteristics'!H8</f>
        <v>30</v>
      </c>
      <c r="G10" s="247">
        <f>D10/C10</f>
        <v>83.782919646613394</v>
      </c>
      <c r="H10" s="327">
        <v>0</v>
      </c>
      <c r="I10" s="327">
        <v>0</v>
      </c>
      <c r="J10" s="327">
        <v>0</v>
      </c>
      <c r="K10" s="327">
        <v>0</v>
      </c>
      <c r="L10" s="327">
        <v>0</v>
      </c>
      <c r="M10" s="327">
        <v>0</v>
      </c>
      <c r="N10" s="327">
        <v>0</v>
      </c>
      <c r="O10" s="327">
        <v>0</v>
      </c>
      <c r="P10" s="327">
        <v>0</v>
      </c>
      <c r="Q10" s="327">
        <v>0</v>
      </c>
      <c r="R10" s="327">
        <v>0</v>
      </c>
      <c r="S10" s="327">
        <v>0</v>
      </c>
      <c r="T10" s="327">
        <v>0</v>
      </c>
      <c r="U10" s="327">
        <v>1</v>
      </c>
      <c r="V10" s="328">
        <v>0</v>
      </c>
      <c r="W10" s="330"/>
    </row>
    <row r="11" spans="1:25" ht="15.75" customHeight="1" x14ac:dyDescent="0.45">
      <c r="A11" s="244">
        <v>8</v>
      </c>
      <c r="B11" s="269" t="str">
        <f>'survey characteristics'!A9</f>
        <v>Eastern Prairie Fringed Orchid</v>
      </c>
      <c r="C11" s="245">
        <f>'survey characteristics'!F9</f>
        <v>0.59797541576283442</v>
      </c>
      <c r="D11" s="246">
        <f>'survey characteristics'!C9</f>
        <v>75</v>
      </c>
      <c r="E11" s="247">
        <f>'survey characteristics'!E9</f>
        <v>15</v>
      </c>
      <c r="F11" s="247">
        <f>'survey characteristics'!H9</f>
        <v>3</v>
      </c>
      <c r="G11" s="247">
        <f t="shared" si="0"/>
        <v>125.42321644498186</v>
      </c>
      <c r="H11" s="327">
        <v>1</v>
      </c>
      <c r="I11" s="327">
        <v>1</v>
      </c>
      <c r="J11" s="327">
        <v>0</v>
      </c>
      <c r="K11" s="327">
        <v>0</v>
      </c>
      <c r="L11" s="327">
        <v>0</v>
      </c>
      <c r="M11" s="327">
        <v>0</v>
      </c>
      <c r="N11" s="327">
        <v>0</v>
      </c>
      <c r="O11" s="327">
        <v>1</v>
      </c>
      <c r="P11" s="327">
        <v>0</v>
      </c>
      <c r="Q11" s="327">
        <v>0</v>
      </c>
      <c r="R11" s="327">
        <v>0</v>
      </c>
      <c r="S11" s="327">
        <v>0</v>
      </c>
      <c r="T11" s="327">
        <v>1</v>
      </c>
      <c r="U11" s="327">
        <v>0</v>
      </c>
      <c r="V11" s="328">
        <v>0</v>
      </c>
      <c r="W11" s="331" t="s">
        <v>275</v>
      </c>
    </row>
    <row r="12" spans="1:25" s="251" customFormat="1" ht="15.75" customHeight="1" x14ac:dyDescent="0.45">
      <c r="A12" s="268">
        <v>9</v>
      </c>
      <c r="B12" s="269" t="str">
        <f>'survey characteristics'!A10</f>
        <v>Fish survey</v>
      </c>
      <c r="C12" s="270">
        <f>'survey characteristics'!F10</f>
        <v>0.3694866232827187</v>
      </c>
      <c r="D12" s="271">
        <f>'survey characteristics'!C10</f>
        <v>195</v>
      </c>
      <c r="E12" s="272">
        <f>'survey characteristics'!E10</f>
        <v>15</v>
      </c>
      <c r="F12" s="272">
        <f>'survey characteristics'!H10</f>
        <v>22</v>
      </c>
      <c r="G12" s="272">
        <f t="shared" si="0"/>
        <v>527.75929549902162</v>
      </c>
      <c r="H12" s="332">
        <v>0</v>
      </c>
      <c r="I12" s="332">
        <v>0</v>
      </c>
      <c r="J12" s="332">
        <v>0</v>
      </c>
      <c r="K12" s="332">
        <v>0</v>
      </c>
      <c r="L12" s="332">
        <v>0</v>
      </c>
      <c r="M12" s="332">
        <v>0</v>
      </c>
      <c r="N12" s="332">
        <v>0</v>
      </c>
      <c r="O12" s="332">
        <v>0</v>
      </c>
      <c r="P12" s="332">
        <v>0</v>
      </c>
      <c r="Q12" s="332">
        <v>0</v>
      </c>
      <c r="R12" s="332">
        <v>0</v>
      </c>
      <c r="S12" s="332">
        <v>0</v>
      </c>
      <c r="T12" s="332">
        <v>0</v>
      </c>
      <c r="U12" s="332">
        <v>0</v>
      </c>
      <c r="V12" s="333">
        <v>0</v>
      </c>
      <c r="W12" s="297"/>
      <c r="X12" s="196"/>
      <c r="Y12" s="196"/>
    </row>
    <row r="13" spans="1:25" s="251" customFormat="1" ht="15.75" customHeight="1" x14ac:dyDescent="0.45">
      <c r="A13" s="268">
        <v>10</v>
      </c>
      <c r="B13" s="269" t="str">
        <f>'survey characteristics'!A11</f>
        <v>Forest Ecological Inventory</v>
      </c>
      <c r="C13" s="270">
        <f>'survey characteristics'!F11</f>
        <v>0.42136659436008672</v>
      </c>
      <c r="D13" s="271">
        <f>'survey characteristics'!C11</f>
        <v>14</v>
      </c>
      <c r="E13" s="272">
        <f>'survey characteristics'!E11</f>
        <v>1</v>
      </c>
      <c r="F13" s="272">
        <f>'survey characteristics'!H11</f>
        <v>18</v>
      </c>
      <c r="G13" s="272">
        <f t="shared" si="0"/>
        <v>33.22522522522523</v>
      </c>
      <c r="H13" s="332">
        <v>0</v>
      </c>
      <c r="I13" s="332">
        <v>0</v>
      </c>
      <c r="J13" s="332">
        <v>0</v>
      </c>
      <c r="K13" s="332">
        <v>0</v>
      </c>
      <c r="L13" s="332">
        <v>0</v>
      </c>
      <c r="M13" s="332">
        <v>0</v>
      </c>
      <c r="N13" s="332">
        <v>1</v>
      </c>
      <c r="O13" s="332">
        <v>1</v>
      </c>
      <c r="P13" s="332">
        <v>1</v>
      </c>
      <c r="Q13" s="332">
        <v>0</v>
      </c>
      <c r="R13" s="332">
        <v>1</v>
      </c>
      <c r="S13" s="332">
        <v>1</v>
      </c>
      <c r="T13" s="332">
        <v>0</v>
      </c>
      <c r="U13" s="332">
        <v>0</v>
      </c>
      <c r="V13" s="333">
        <v>0</v>
      </c>
      <c r="W13" s="330"/>
      <c r="X13" s="196"/>
      <c r="Y13" s="196"/>
    </row>
    <row r="14" spans="1:25" s="251" customFormat="1" ht="15.75" customHeight="1" x14ac:dyDescent="0.45">
      <c r="A14" s="268">
        <v>11</v>
      </c>
      <c r="B14" s="269" t="str">
        <f>'survey characteristics'!A12</f>
        <v>Fox Snake Survey</v>
      </c>
      <c r="C14" s="270">
        <f>'survey characteristics'!F12</f>
        <v>0.30892986261749816</v>
      </c>
      <c r="D14" s="271">
        <f>'survey characteristics'!C12</f>
        <v>240</v>
      </c>
      <c r="E14" s="272">
        <f>'survey characteristics'!E12</f>
        <v>15</v>
      </c>
      <c r="F14" s="272">
        <f>'survey characteristics'!H12</f>
        <v>26</v>
      </c>
      <c r="G14" s="272">
        <f t="shared" si="0"/>
        <v>776.87536571094211</v>
      </c>
      <c r="H14" s="332">
        <v>0</v>
      </c>
      <c r="I14" s="332">
        <v>0</v>
      </c>
      <c r="J14" s="332">
        <v>0</v>
      </c>
      <c r="K14" s="332">
        <v>0</v>
      </c>
      <c r="L14" s="332">
        <v>0</v>
      </c>
      <c r="M14" s="332">
        <v>0</v>
      </c>
      <c r="N14" s="332">
        <v>0</v>
      </c>
      <c r="O14" s="332">
        <v>0</v>
      </c>
      <c r="P14" s="332">
        <v>0</v>
      </c>
      <c r="Q14" s="332">
        <v>0</v>
      </c>
      <c r="R14" s="332">
        <v>0</v>
      </c>
      <c r="S14" s="332">
        <v>0</v>
      </c>
      <c r="T14" s="332">
        <v>0</v>
      </c>
      <c r="U14" s="332">
        <v>0</v>
      </c>
      <c r="V14" s="333">
        <v>0</v>
      </c>
      <c r="W14" s="297"/>
      <c r="X14" s="196"/>
      <c r="Y14" s="196"/>
    </row>
    <row r="15" spans="1:25" s="251" customFormat="1" ht="15.75" customHeight="1" x14ac:dyDescent="0.45">
      <c r="A15" s="268">
        <v>12</v>
      </c>
      <c r="B15" s="269" t="str">
        <f>'survey characteristics'!A13</f>
        <v>Gibraltar Wetlands Forest Invasives Inventory</v>
      </c>
      <c r="C15" s="270">
        <f>'survey characteristics'!F13</f>
        <v>0.43872017353579174</v>
      </c>
      <c r="D15" s="271">
        <f>'survey characteristics'!C13</f>
        <v>165</v>
      </c>
      <c r="E15" s="272">
        <f>'survey characteristics'!E13</f>
        <v>15</v>
      </c>
      <c r="F15" s="272">
        <f>'survey characteristics'!H13</f>
        <v>14</v>
      </c>
      <c r="G15" s="272">
        <f t="shared" si="0"/>
        <v>376.09394313967863</v>
      </c>
      <c r="H15" s="332">
        <v>0</v>
      </c>
      <c r="I15" s="332">
        <v>0</v>
      </c>
      <c r="J15" s="332">
        <v>0</v>
      </c>
      <c r="K15" s="332">
        <v>0</v>
      </c>
      <c r="L15" s="332">
        <v>0</v>
      </c>
      <c r="M15" s="332">
        <v>0</v>
      </c>
      <c r="N15" s="332">
        <v>0</v>
      </c>
      <c r="O15" s="332">
        <v>0</v>
      </c>
      <c r="P15" s="332">
        <v>0</v>
      </c>
      <c r="Q15" s="332">
        <v>0</v>
      </c>
      <c r="R15" s="332">
        <v>0</v>
      </c>
      <c r="S15" s="332">
        <v>0</v>
      </c>
      <c r="T15" s="332">
        <v>0</v>
      </c>
      <c r="U15" s="332">
        <v>0</v>
      </c>
      <c r="V15" s="333">
        <v>0</v>
      </c>
      <c r="W15" s="330"/>
      <c r="X15" s="196"/>
      <c r="Y15" s="196"/>
    </row>
    <row r="16" spans="1:25" s="251" customFormat="1" ht="15.75" customHeight="1" x14ac:dyDescent="0.45">
      <c r="A16" s="268">
        <v>13</v>
      </c>
      <c r="B16" s="269" t="str">
        <f>'survey characteristics'!A14</f>
        <v>Grassy Island ground water monitoring</v>
      </c>
      <c r="C16" s="270">
        <f>'survey characteristics'!F14</f>
        <v>0.51518438177874193</v>
      </c>
      <c r="D16" s="271">
        <f>'survey characteristics'!C14</f>
        <v>15</v>
      </c>
      <c r="E16" s="272">
        <f>'survey characteristics'!E14</f>
        <v>15</v>
      </c>
      <c r="F16" s="272">
        <f>'survey characteristics'!H14</f>
        <v>8</v>
      </c>
      <c r="G16" s="272">
        <f t="shared" si="0"/>
        <v>29.115789473684206</v>
      </c>
      <c r="H16" s="332">
        <v>1</v>
      </c>
      <c r="I16" s="332">
        <v>1</v>
      </c>
      <c r="J16" s="332">
        <v>0</v>
      </c>
      <c r="K16" s="332">
        <v>1</v>
      </c>
      <c r="L16" s="332">
        <v>1</v>
      </c>
      <c r="M16" s="332">
        <v>1</v>
      </c>
      <c r="N16" s="332">
        <v>0</v>
      </c>
      <c r="O16" s="332">
        <v>0</v>
      </c>
      <c r="P16" s="332">
        <v>0</v>
      </c>
      <c r="Q16" s="332">
        <v>0</v>
      </c>
      <c r="R16" s="332">
        <v>0</v>
      </c>
      <c r="S16" s="332">
        <v>0</v>
      </c>
      <c r="T16" s="332">
        <v>1</v>
      </c>
      <c r="U16" s="332">
        <v>1</v>
      </c>
      <c r="V16" s="333">
        <v>0</v>
      </c>
      <c r="W16" s="330"/>
      <c r="X16" s="196"/>
      <c r="Y16" s="196"/>
    </row>
    <row r="17" spans="1:25" s="251" customFormat="1" ht="15.75" customHeight="1" x14ac:dyDescent="0.45">
      <c r="A17" s="268">
        <v>14</v>
      </c>
      <c r="B17" s="269" t="str">
        <f>'survey characteristics'!A15</f>
        <v>HGM</v>
      </c>
      <c r="C17" s="270">
        <f>'survey characteristics'!F15</f>
        <v>0.44486623282718724</v>
      </c>
      <c r="D17" s="271">
        <f>'survey characteristics'!C15</f>
        <v>5.1999999999999993</v>
      </c>
      <c r="E17" s="272">
        <f>'survey characteristics'!E15</f>
        <v>1</v>
      </c>
      <c r="F17" s="272">
        <f>'survey characteristics'!H15</f>
        <v>13</v>
      </c>
      <c r="G17" s="272">
        <f t="shared" si="0"/>
        <v>11.68890694839496</v>
      </c>
      <c r="H17" s="332">
        <v>1</v>
      </c>
      <c r="I17" s="332">
        <v>1</v>
      </c>
      <c r="J17" s="332">
        <v>1</v>
      </c>
      <c r="K17" s="332">
        <v>1</v>
      </c>
      <c r="L17" s="332">
        <v>1</v>
      </c>
      <c r="M17" s="332">
        <v>1</v>
      </c>
      <c r="N17" s="332">
        <v>1</v>
      </c>
      <c r="O17" s="332">
        <v>1</v>
      </c>
      <c r="P17" s="332">
        <v>0</v>
      </c>
      <c r="Q17" s="332">
        <v>0</v>
      </c>
      <c r="R17" s="332">
        <v>1</v>
      </c>
      <c r="S17" s="332">
        <v>1</v>
      </c>
      <c r="T17" s="332">
        <v>0</v>
      </c>
      <c r="U17" s="332">
        <v>0</v>
      </c>
      <c r="V17" s="333">
        <v>0</v>
      </c>
      <c r="W17" s="331" t="s">
        <v>275</v>
      </c>
      <c r="X17" s="196"/>
      <c r="Y17" s="196"/>
    </row>
    <row r="18" spans="1:25" s="251" customFormat="1" ht="15.75" customHeight="1" x14ac:dyDescent="0.45">
      <c r="A18" s="268">
        <v>15</v>
      </c>
      <c r="B18" s="269" t="str">
        <f>'survey characteristics'!A16</f>
        <v>Humbug Marsh Deer Browse Evaluation</v>
      </c>
      <c r="C18" s="270">
        <f>'survey characteristics'!F16</f>
        <v>0.42154736080983368</v>
      </c>
      <c r="D18" s="271">
        <f>'survey characteristics'!C16</f>
        <v>43.500000000000007</v>
      </c>
      <c r="E18" s="272">
        <f>'survey characteristics'!E16</f>
        <v>15</v>
      </c>
      <c r="F18" s="272">
        <f>'survey characteristics'!H16</f>
        <v>17</v>
      </c>
      <c r="G18" s="272">
        <f t="shared" si="0"/>
        <v>103.19125214408236</v>
      </c>
      <c r="H18" s="332">
        <v>0</v>
      </c>
      <c r="I18" s="332">
        <v>0</v>
      </c>
      <c r="J18" s="332">
        <v>0</v>
      </c>
      <c r="K18" s="332">
        <v>0</v>
      </c>
      <c r="L18" s="332">
        <v>0</v>
      </c>
      <c r="M18" s="332">
        <v>0</v>
      </c>
      <c r="N18" s="332">
        <v>1</v>
      </c>
      <c r="O18" s="332">
        <v>0</v>
      </c>
      <c r="P18" s="332">
        <v>1</v>
      </c>
      <c r="Q18" s="332">
        <v>1</v>
      </c>
      <c r="R18" s="332">
        <v>0</v>
      </c>
      <c r="S18" s="332">
        <v>1</v>
      </c>
      <c r="T18" s="332">
        <v>0</v>
      </c>
      <c r="U18" s="332">
        <v>0</v>
      </c>
      <c r="V18" s="333">
        <v>0</v>
      </c>
      <c r="W18" s="330"/>
      <c r="X18" s="196"/>
      <c r="Y18" s="196"/>
    </row>
    <row r="19" spans="1:25" s="251" customFormat="1" ht="15.75" customHeight="1" x14ac:dyDescent="0.45">
      <c r="A19" s="268">
        <v>16</v>
      </c>
      <c r="B19" s="269" t="str">
        <f>'survey characteristics'!A17</f>
        <v>Impoundment water levels</v>
      </c>
      <c r="C19" s="270">
        <f>'survey characteristics'!F17</f>
        <v>0.37075198843094714</v>
      </c>
      <c r="D19" s="271">
        <f>'survey characteristics'!C17</f>
        <v>57</v>
      </c>
      <c r="E19" s="272">
        <f>'survey characteristics'!E17</f>
        <v>15</v>
      </c>
      <c r="F19" s="272">
        <f>'survey characteristics'!H17</f>
        <v>21</v>
      </c>
      <c r="G19" s="272">
        <f t="shared" si="0"/>
        <v>153.74158946855195</v>
      </c>
      <c r="H19" s="332">
        <v>0</v>
      </c>
      <c r="I19" s="332">
        <v>0</v>
      </c>
      <c r="J19" s="332">
        <v>0</v>
      </c>
      <c r="K19" s="332">
        <v>1</v>
      </c>
      <c r="L19" s="332">
        <v>1</v>
      </c>
      <c r="M19" s="332">
        <v>0</v>
      </c>
      <c r="N19" s="332">
        <v>0</v>
      </c>
      <c r="O19" s="332">
        <v>0</v>
      </c>
      <c r="P19" s="332">
        <v>0</v>
      </c>
      <c r="Q19" s="332">
        <v>0</v>
      </c>
      <c r="R19" s="332">
        <v>0</v>
      </c>
      <c r="S19" s="332">
        <v>0</v>
      </c>
      <c r="T19" s="332">
        <v>1</v>
      </c>
      <c r="U19" s="332">
        <v>1</v>
      </c>
      <c r="V19" s="333">
        <v>1</v>
      </c>
      <c r="W19" s="329" t="s">
        <v>274</v>
      </c>
      <c r="X19" s="196"/>
      <c r="Y19" s="196"/>
    </row>
    <row r="20" spans="1:25" s="251" customFormat="1" ht="15.75" customHeight="1" x14ac:dyDescent="0.45">
      <c r="A20" s="268">
        <v>17</v>
      </c>
      <c r="B20" s="269" t="str">
        <f>'survey characteristics'!A18</f>
        <v xml:space="preserve">Lake sturgeon </v>
      </c>
      <c r="C20" s="270">
        <f>'survey characteristics'!F18</f>
        <v>0.33920824295010843</v>
      </c>
      <c r="D20" s="271">
        <f>'survey characteristics'!C18</f>
        <v>0</v>
      </c>
      <c r="E20" s="272">
        <f>'survey characteristics'!E18</f>
        <v>15</v>
      </c>
      <c r="F20" s="272">
        <f>'survey characteristics'!H18</f>
        <v>23</v>
      </c>
      <c r="G20" s="272">
        <f t="shared" si="0"/>
        <v>0</v>
      </c>
      <c r="H20" s="332">
        <v>1</v>
      </c>
      <c r="I20" s="332">
        <v>1</v>
      </c>
      <c r="J20" s="332">
        <v>1</v>
      </c>
      <c r="K20" s="332">
        <v>1</v>
      </c>
      <c r="L20" s="332">
        <v>1</v>
      </c>
      <c r="M20" s="332">
        <v>1</v>
      </c>
      <c r="N20" s="332">
        <v>1</v>
      </c>
      <c r="O20" s="332">
        <v>1</v>
      </c>
      <c r="P20" s="332">
        <v>0</v>
      </c>
      <c r="Q20" s="332">
        <v>0</v>
      </c>
      <c r="R20" s="332">
        <v>0</v>
      </c>
      <c r="S20" s="332">
        <v>0</v>
      </c>
      <c r="T20" s="332">
        <v>0</v>
      </c>
      <c r="U20" s="332">
        <v>1</v>
      </c>
      <c r="V20" s="333">
        <v>0</v>
      </c>
      <c r="W20" s="330"/>
      <c r="X20" s="196"/>
      <c r="Y20" s="196"/>
    </row>
    <row r="21" spans="1:25" s="251" customFormat="1" ht="15.75" customHeight="1" x14ac:dyDescent="0.45">
      <c r="A21" s="268">
        <v>18</v>
      </c>
      <c r="B21" s="269" t="str">
        <f>'survey characteristics'!A19</f>
        <v>Lower Great Lakes January Waterfowl Survey (as part of Mid-Winter Waterfowl Survey)</v>
      </c>
      <c r="C21" s="270">
        <f>'survey characteristics'!F19</f>
        <v>0.43383947939262468</v>
      </c>
      <c r="D21" s="271">
        <f>'survey characteristics'!C19</f>
        <v>0</v>
      </c>
      <c r="E21" s="272">
        <f>'survey characteristics'!E19</f>
        <v>15</v>
      </c>
      <c r="F21" s="272">
        <f>'survey characteristics'!H19</f>
        <v>15</v>
      </c>
      <c r="G21" s="272">
        <f t="shared" si="0"/>
        <v>0</v>
      </c>
      <c r="H21" s="332">
        <v>1</v>
      </c>
      <c r="I21" s="332">
        <v>1</v>
      </c>
      <c r="J21" s="332">
        <v>1</v>
      </c>
      <c r="K21" s="332">
        <v>1</v>
      </c>
      <c r="L21" s="332">
        <v>1</v>
      </c>
      <c r="M21" s="332">
        <v>1</v>
      </c>
      <c r="N21" s="332">
        <v>1</v>
      </c>
      <c r="O21" s="332">
        <v>1</v>
      </c>
      <c r="P21" s="332">
        <v>0</v>
      </c>
      <c r="Q21" s="332">
        <v>0</v>
      </c>
      <c r="R21" s="332">
        <v>0</v>
      </c>
      <c r="S21" s="332">
        <v>0</v>
      </c>
      <c r="T21" s="332">
        <v>0</v>
      </c>
      <c r="U21" s="332">
        <v>1</v>
      </c>
      <c r="V21" s="333">
        <v>0</v>
      </c>
      <c r="W21" s="297"/>
      <c r="X21" s="196"/>
      <c r="Y21" s="196"/>
    </row>
    <row r="22" spans="1:25" s="251" customFormat="1" ht="15.75" customHeight="1" x14ac:dyDescent="0.45">
      <c r="A22" s="268">
        <v>19</v>
      </c>
      <c r="B22" s="269" t="str">
        <f>'survey characteristics'!A20</f>
        <v>Marshbird Survey</v>
      </c>
      <c r="C22" s="270">
        <f>'survey characteristics'!F20</f>
        <v>0.59544468546637741</v>
      </c>
      <c r="D22" s="271">
        <f>'survey characteristics'!C20</f>
        <v>82.5</v>
      </c>
      <c r="E22" s="272">
        <f>'survey characteristics'!E20</f>
        <v>15</v>
      </c>
      <c r="F22" s="272">
        <f>'survey characteristics'!H20</f>
        <v>4</v>
      </c>
      <c r="G22" s="272">
        <f t="shared" si="0"/>
        <v>138.55191256830602</v>
      </c>
      <c r="H22" s="332">
        <v>0</v>
      </c>
      <c r="I22" s="332">
        <v>0</v>
      </c>
      <c r="J22" s="332">
        <v>0</v>
      </c>
      <c r="K22" s="332">
        <v>0</v>
      </c>
      <c r="L22" s="332">
        <v>0</v>
      </c>
      <c r="M22" s="332">
        <v>1</v>
      </c>
      <c r="N22" s="332">
        <v>0</v>
      </c>
      <c r="O22" s="332">
        <v>0</v>
      </c>
      <c r="P22" s="332">
        <v>0</v>
      </c>
      <c r="Q22" s="332">
        <v>0</v>
      </c>
      <c r="R22" s="332">
        <v>0</v>
      </c>
      <c r="S22" s="332">
        <v>0</v>
      </c>
      <c r="T22" s="332">
        <v>0</v>
      </c>
      <c r="U22" s="332">
        <v>0</v>
      </c>
      <c r="V22" s="333">
        <v>0</v>
      </c>
      <c r="W22" s="331" t="s">
        <v>275</v>
      </c>
      <c r="X22" s="196"/>
      <c r="Y22" s="196"/>
    </row>
    <row r="23" spans="1:25" s="251" customFormat="1" ht="15.75" customHeight="1" x14ac:dyDescent="0.45">
      <c r="A23" s="268">
        <v>20</v>
      </c>
      <c r="B23" s="269" t="str">
        <f>'survey characteristics'!A21</f>
        <v>Multi-agency water quality in the lower Detroit River and the western Lake Erie basin.</v>
      </c>
      <c r="C23" s="270">
        <f>'survey characteristics'!F21</f>
        <v>0.17227042660882139</v>
      </c>
      <c r="D23" s="271">
        <f>'survey characteristics'!C21</f>
        <v>720</v>
      </c>
      <c r="E23" s="272">
        <f>'survey characteristics'!E21</f>
        <v>15</v>
      </c>
      <c r="F23" s="272">
        <f>'survey characteristics'!H21</f>
        <v>31</v>
      </c>
      <c r="G23" s="272">
        <f t="shared" si="0"/>
        <v>4179.475341028332</v>
      </c>
      <c r="H23" s="332">
        <v>0</v>
      </c>
      <c r="I23" s="332">
        <v>0</v>
      </c>
      <c r="J23" s="332">
        <v>0</v>
      </c>
      <c r="K23" s="332">
        <v>0</v>
      </c>
      <c r="L23" s="332">
        <v>0</v>
      </c>
      <c r="M23" s="332">
        <v>0</v>
      </c>
      <c r="N23" s="332">
        <v>0</v>
      </c>
      <c r="O23" s="332">
        <v>0</v>
      </c>
      <c r="P23" s="332">
        <v>0</v>
      </c>
      <c r="Q23" s="332">
        <v>0</v>
      </c>
      <c r="R23" s="332">
        <v>0</v>
      </c>
      <c r="S23" s="332">
        <v>0</v>
      </c>
      <c r="T23" s="332">
        <v>0</v>
      </c>
      <c r="U23" s="332">
        <v>0</v>
      </c>
      <c r="V23" s="333">
        <v>0</v>
      </c>
      <c r="W23" s="297"/>
      <c r="X23" s="196"/>
      <c r="Y23" s="196"/>
    </row>
    <row r="24" spans="1:25" s="251" customFormat="1" ht="15.75" customHeight="1" x14ac:dyDescent="0.45">
      <c r="A24" s="268">
        <v>21</v>
      </c>
      <c r="B24" s="269" t="str">
        <f>'survey characteristics'!A22</f>
        <v>Muskrat Monitoring</v>
      </c>
      <c r="C24" s="270">
        <f>'survey characteristics'!F22</f>
        <v>0.3159797541576283</v>
      </c>
      <c r="D24" s="271">
        <f>'survey characteristics'!C22</f>
        <v>13.5</v>
      </c>
      <c r="E24" s="272">
        <f>'survey characteristics'!E22</f>
        <v>15</v>
      </c>
      <c r="F24" s="272">
        <f>'survey characteristics'!H22</f>
        <v>25</v>
      </c>
      <c r="G24" s="272">
        <f t="shared" si="0"/>
        <v>42.724256292906183</v>
      </c>
      <c r="H24" s="332">
        <v>0</v>
      </c>
      <c r="I24" s="332">
        <v>1</v>
      </c>
      <c r="J24" s="332">
        <v>0</v>
      </c>
      <c r="K24" s="332">
        <v>0</v>
      </c>
      <c r="L24" s="332">
        <v>0</v>
      </c>
      <c r="M24" s="332">
        <v>1</v>
      </c>
      <c r="N24" s="332">
        <v>0</v>
      </c>
      <c r="O24" s="332">
        <v>0</v>
      </c>
      <c r="P24" s="332">
        <v>0</v>
      </c>
      <c r="Q24" s="332">
        <v>0</v>
      </c>
      <c r="R24" s="332">
        <v>0</v>
      </c>
      <c r="S24" s="332">
        <v>0</v>
      </c>
      <c r="T24" s="332">
        <v>0</v>
      </c>
      <c r="U24" s="332">
        <v>0</v>
      </c>
      <c r="V24" s="333">
        <v>0</v>
      </c>
      <c r="W24" s="330"/>
      <c r="X24" s="196"/>
      <c r="Y24" s="196"/>
    </row>
    <row r="25" spans="1:25" s="251" customFormat="1" ht="15.75" customHeight="1" x14ac:dyDescent="0.45">
      <c r="A25" s="268">
        <v>22</v>
      </c>
      <c r="B25" s="269" t="str">
        <f>'survey characteristics'!A23</f>
        <v>NOAA lake level monitoring</v>
      </c>
      <c r="C25" s="270">
        <f>'survey characteristics'!F23</f>
        <v>0.70046999276934196</v>
      </c>
      <c r="D25" s="271">
        <f>'survey characteristics'!C23</f>
        <v>22.5</v>
      </c>
      <c r="E25" s="272">
        <f>'survey characteristics'!E23</f>
        <v>15</v>
      </c>
      <c r="F25" s="272">
        <f>'survey characteristics'!H23</f>
        <v>1</v>
      </c>
      <c r="G25" s="272">
        <f t="shared" si="0"/>
        <v>32.121290322580649</v>
      </c>
      <c r="H25" s="332">
        <v>1</v>
      </c>
      <c r="I25" s="332">
        <v>1</v>
      </c>
      <c r="J25" s="332">
        <v>0</v>
      </c>
      <c r="K25" s="332">
        <v>1</v>
      </c>
      <c r="L25" s="332">
        <v>1</v>
      </c>
      <c r="M25" s="332">
        <v>1</v>
      </c>
      <c r="N25" s="332">
        <v>1</v>
      </c>
      <c r="O25" s="332">
        <v>0</v>
      </c>
      <c r="P25" s="332">
        <v>1</v>
      </c>
      <c r="Q25" s="332">
        <v>1</v>
      </c>
      <c r="R25" s="332">
        <v>0</v>
      </c>
      <c r="S25" s="332">
        <v>0</v>
      </c>
      <c r="T25" s="332">
        <v>1</v>
      </c>
      <c r="U25" s="332">
        <v>0</v>
      </c>
      <c r="V25" s="333">
        <v>1</v>
      </c>
      <c r="W25" s="329" t="s">
        <v>274</v>
      </c>
      <c r="X25" s="196"/>
      <c r="Y25" s="196"/>
    </row>
    <row r="26" spans="1:25" s="251" customFormat="1" ht="15.75" customHeight="1" x14ac:dyDescent="0.45">
      <c r="A26" s="268">
        <v>23</v>
      </c>
      <c r="B26" s="269" t="str">
        <f>'survey characteristics'!A24</f>
        <v>Northern Flicker Survey</v>
      </c>
      <c r="C26" s="270">
        <f>'survey characteristics'!F24</f>
        <v>0.29067245119305857</v>
      </c>
      <c r="D26" s="271">
        <f>'survey characteristics'!C24</f>
        <v>90</v>
      </c>
      <c r="E26" s="272">
        <f>'survey characteristics'!E24</f>
        <v>15</v>
      </c>
      <c r="F26" s="272">
        <f>'survey characteristics'!H24</f>
        <v>28</v>
      </c>
      <c r="G26" s="272">
        <f t="shared" si="0"/>
        <v>309.62686567164178</v>
      </c>
      <c r="H26" s="332">
        <v>0</v>
      </c>
      <c r="I26" s="332">
        <v>0</v>
      </c>
      <c r="J26" s="332">
        <v>0</v>
      </c>
      <c r="K26" s="332">
        <v>0</v>
      </c>
      <c r="L26" s="332">
        <v>0</v>
      </c>
      <c r="M26" s="332">
        <v>0</v>
      </c>
      <c r="N26" s="332">
        <v>0</v>
      </c>
      <c r="O26" s="332">
        <v>0</v>
      </c>
      <c r="P26" s="332">
        <v>0</v>
      </c>
      <c r="Q26" s="332">
        <v>0</v>
      </c>
      <c r="R26" s="332">
        <v>0</v>
      </c>
      <c r="S26" s="332">
        <v>0</v>
      </c>
      <c r="T26" s="332">
        <v>0</v>
      </c>
      <c r="U26" s="332">
        <v>0</v>
      </c>
      <c r="V26" s="333">
        <v>0</v>
      </c>
      <c r="W26" s="297"/>
      <c r="X26" s="196"/>
      <c r="Y26" s="196"/>
    </row>
    <row r="27" spans="1:25" s="251" customFormat="1" ht="15.75" customHeight="1" x14ac:dyDescent="0.45">
      <c r="A27" s="268">
        <v>24</v>
      </c>
      <c r="B27" s="269" t="str">
        <f>'survey characteristics'!A25</f>
        <v xml:space="preserve">Phragmites Reduction: Comparison via remote-sensing of 2017 Imagery to 2009 Baseline </v>
      </c>
      <c r="C27" s="270">
        <f>'survey characteristics'!F25</f>
        <v>0.40672451193058567</v>
      </c>
      <c r="D27" s="271">
        <f>'survey characteristics'!C25</f>
        <v>53</v>
      </c>
      <c r="E27" s="272">
        <f>'survey characteristics'!E25</f>
        <v>1</v>
      </c>
      <c r="F27" s="272">
        <f>'survey characteristics'!H25</f>
        <v>19</v>
      </c>
      <c r="G27" s="272">
        <f t="shared" si="0"/>
        <v>130.30933333333334</v>
      </c>
      <c r="H27" s="332">
        <v>0</v>
      </c>
      <c r="I27" s="332">
        <v>0</v>
      </c>
      <c r="J27" s="332">
        <v>0</v>
      </c>
      <c r="K27" s="332">
        <v>1</v>
      </c>
      <c r="L27" s="332">
        <v>1</v>
      </c>
      <c r="M27" s="332">
        <v>0</v>
      </c>
      <c r="N27" s="332">
        <v>0</v>
      </c>
      <c r="O27" s="332">
        <v>0</v>
      </c>
      <c r="P27" s="332">
        <v>0</v>
      </c>
      <c r="Q27" s="332">
        <v>0</v>
      </c>
      <c r="R27" s="332">
        <v>1</v>
      </c>
      <c r="S27" s="332">
        <v>1</v>
      </c>
      <c r="T27" s="332">
        <v>1</v>
      </c>
      <c r="U27" s="332">
        <v>0</v>
      </c>
      <c r="V27" s="333">
        <v>0</v>
      </c>
      <c r="W27" s="330"/>
      <c r="X27" s="196"/>
      <c r="Y27" s="196"/>
    </row>
    <row r="28" spans="1:25" s="251" customFormat="1" ht="15.75" customHeight="1" x14ac:dyDescent="0.45">
      <c r="A28" s="268">
        <v>25</v>
      </c>
      <c r="B28" s="269" t="str">
        <f>'survey characteristics'!A26</f>
        <v>Rusty Blackbird Survey</v>
      </c>
      <c r="C28" s="270">
        <f>'survey characteristics'!F26</f>
        <v>0.30694143167028198</v>
      </c>
      <c r="D28" s="271">
        <f>'survey characteristics'!C26</f>
        <v>82.5</v>
      </c>
      <c r="E28" s="272">
        <f>'survey characteristics'!E26</f>
        <v>15</v>
      </c>
      <c r="F28" s="272">
        <f>'survey characteristics'!H26</f>
        <v>27</v>
      </c>
      <c r="G28" s="272">
        <f t="shared" si="0"/>
        <v>268.78091872791521</v>
      </c>
      <c r="H28" s="332">
        <v>0</v>
      </c>
      <c r="I28" s="332">
        <v>0</v>
      </c>
      <c r="J28" s="332">
        <v>0</v>
      </c>
      <c r="K28" s="332">
        <v>0</v>
      </c>
      <c r="L28" s="332">
        <v>0</v>
      </c>
      <c r="M28" s="332">
        <v>0</v>
      </c>
      <c r="N28" s="332">
        <v>0</v>
      </c>
      <c r="O28" s="332">
        <v>0</v>
      </c>
      <c r="P28" s="332">
        <v>0</v>
      </c>
      <c r="Q28" s="332">
        <v>0</v>
      </c>
      <c r="R28" s="332">
        <v>0</v>
      </c>
      <c r="S28" s="332">
        <v>0</v>
      </c>
      <c r="T28" s="332">
        <v>0</v>
      </c>
      <c r="U28" s="332">
        <v>0</v>
      </c>
      <c r="V28" s="333">
        <v>0</v>
      </c>
      <c r="W28" s="297"/>
      <c r="X28" s="196"/>
      <c r="Y28" s="196"/>
    </row>
    <row r="29" spans="1:25" s="251" customFormat="1" ht="15.75" customHeight="1" x14ac:dyDescent="0.45">
      <c r="A29" s="268">
        <v>26</v>
      </c>
      <c r="B29" s="269" t="str">
        <f>'survey characteristics'!A27</f>
        <v>Shorebird Survey</v>
      </c>
      <c r="C29" s="270">
        <f>'survey characteristics'!F27</f>
        <v>0.46113521330441071</v>
      </c>
      <c r="D29" s="271">
        <f>'survey characteristics'!C27</f>
        <v>82.5</v>
      </c>
      <c r="E29" s="272">
        <f>'survey characteristics'!E27</f>
        <v>15</v>
      </c>
      <c r="F29" s="272">
        <f>'survey characteristics'!H27</f>
        <v>11</v>
      </c>
      <c r="G29" s="272">
        <f t="shared" si="0"/>
        <v>178.90631125049001</v>
      </c>
      <c r="H29" s="332">
        <v>0</v>
      </c>
      <c r="I29" s="332">
        <v>0</v>
      </c>
      <c r="J29" s="332">
        <v>1</v>
      </c>
      <c r="K29" s="332">
        <v>0</v>
      </c>
      <c r="L29" s="332">
        <v>0</v>
      </c>
      <c r="M29" s="332">
        <v>0</v>
      </c>
      <c r="N29" s="332">
        <v>0</v>
      </c>
      <c r="O29" s="332">
        <v>0</v>
      </c>
      <c r="P29" s="332">
        <v>0</v>
      </c>
      <c r="Q29" s="332">
        <v>0</v>
      </c>
      <c r="R29" s="332">
        <v>0</v>
      </c>
      <c r="S29" s="332">
        <v>0</v>
      </c>
      <c r="T29" s="332">
        <v>1</v>
      </c>
      <c r="U29" s="332">
        <v>0</v>
      </c>
      <c r="V29" s="333">
        <v>0</v>
      </c>
      <c r="W29" s="297"/>
      <c r="X29" s="196"/>
      <c r="Y29" s="196"/>
    </row>
    <row r="30" spans="1:25" s="251" customFormat="1" ht="15.75" customHeight="1" x14ac:dyDescent="0.45">
      <c r="A30" s="268">
        <v>27</v>
      </c>
      <c r="B30" s="269" t="str">
        <f>'survey characteristics'!A28</f>
        <v>Treatment Evaluation of Phragmites, invasive cattail, reed canary grass</v>
      </c>
      <c r="C30" s="270">
        <f>'survey characteristics'!F28</f>
        <v>0.43022415039768613</v>
      </c>
      <c r="D30" s="271">
        <f>'survey characteristics'!C28</f>
        <v>97.5</v>
      </c>
      <c r="E30" s="272">
        <f>'survey characteristics'!E28</f>
        <v>15</v>
      </c>
      <c r="F30" s="272">
        <f>'survey characteristics'!H28</f>
        <v>16</v>
      </c>
      <c r="G30" s="272">
        <f t="shared" si="0"/>
        <v>226.6260504201681</v>
      </c>
      <c r="H30" s="332">
        <v>0</v>
      </c>
      <c r="I30" s="332">
        <v>0</v>
      </c>
      <c r="J30" s="332">
        <v>0</v>
      </c>
      <c r="K30" s="332">
        <v>0</v>
      </c>
      <c r="L30" s="332">
        <v>0</v>
      </c>
      <c r="M30" s="332">
        <v>0</v>
      </c>
      <c r="N30" s="332">
        <v>1</v>
      </c>
      <c r="O30" s="332">
        <v>1</v>
      </c>
      <c r="P30" s="332">
        <v>1</v>
      </c>
      <c r="Q30" s="332">
        <v>1</v>
      </c>
      <c r="R30" s="332">
        <v>0</v>
      </c>
      <c r="S30" s="332">
        <v>1</v>
      </c>
      <c r="T30" s="332">
        <v>0</v>
      </c>
      <c r="U30" s="332">
        <v>0</v>
      </c>
      <c r="V30" s="333">
        <v>1</v>
      </c>
      <c r="W30" s="329" t="s">
        <v>274</v>
      </c>
      <c r="X30" s="196"/>
      <c r="Y30" s="196"/>
    </row>
    <row r="31" spans="1:25" s="251" customFormat="1" ht="15.75" customHeight="1" x14ac:dyDescent="0.45">
      <c r="A31" s="268">
        <v>28</v>
      </c>
      <c r="B31" s="269" t="str">
        <f>'survey characteristics'!A29</f>
        <v>USGS stream gauge monitoring</v>
      </c>
      <c r="C31" s="270">
        <f>'survey characteristics'!F29</f>
        <v>0.68474331164135938</v>
      </c>
      <c r="D31" s="271">
        <f>'survey characteristics'!C29</f>
        <v>22.5</v>
      </c>
      <c r="E31" s="272">
        <f>'survey characteristics'!E29</f>
        <v>15</v>
      </c>
      <c r="F31" s="272">
        <f>'survey characteristics'!H29</f>
        <v>2</v>
      </c>
      <c r="G31" s="272">
        <f t="shared" si="0"/>
        <v>32.859028511087644</v>
      </c>
      <c r="H31" s="332">
        <v>1</v>
      </c>
      <c r="I31" s="332">
        <v>1</v>
      </c>
      <c r="J31" s="332">
        <v>0</v>
      </c>
      <c r="K31" s="332">
        <v>1</v>
      </c>
      <c r="L31" s="332">
        <v>1</v>
      </c>
      <c r="M31" s="332">
        <v>1</v>
      </c>
      <c r="N31" s="332">
        <v>0</v>
      </c>
      <c r="O31" s="332">
        <v>0</v>
      </c>
      <c r="P31" s="332">
        <v>0</v>
      </c>
      <c r="Q31" s="332">
        <v>1</v>
      </c>
      <c r="R31" s="332">
        <v>0</v>
      </c>
      <c r="S31" s="332">
        <v>0</v>
      </c>
      <c r="T31" s="332">
        <v>1</v>
      </c>
      <c r="U31" s="332">
        <v>1</v>
      </c>
      <c r="V31" s="333">
        <v>1</v>
      </c>
      <c r="W31" s="329" t="s">
        <v>274</v>
      </c>
      <c r="X31" s="196"/>
      <c r="Y31" s="196"/>
    </row>
    <row r="32" spans="1:25" s="251" customFormat="1" ht="15.75" customHeight="1" x14ac:dyDescent="0.45">
      <c r="A32" s="268">
        <v>29</v>
      </c>
      <c r="B32" s="269" t="str">
        <f>'survey characteristics'!A30</f>
        <v>Waterfowl survey</v>
      </c>
      <c r="C32" s="270">
        <f>'survey characteristics'!F30</f>
        <v>0.58622559652928419</v>
      </c>
      <c r="D32" s="271">
        <f>'survey characteristics'!C30</f>
        <v>82.5</v>
      </c>
      <c r="E32" s="272">
        <f>'survey characteristics'!E30</f>
        <v>15</v>
      </c>
      <c r="F32" s="272">
        <f>'survey characteristics'!H30</f>
        <v>5</v>
      </c>
      <c r="G32" s="272">
        <f t="shared" si="0"/>
        <v>140.73080481036078</v>
      </c>
      <c r="H32" s="332">
        <v>0</v>
      </c>
      <c r="I32" s="332">
        <v>0</v>
      </c>
      <c r="J32" s="332">
        <v>0</v>
      </c>
      <c r="K32" s="332">
        <v>0</v>
      </c>
      <c r="L32" s="332">
        <v>0</v>
      </c>
      <c r="M32" s="332">
        <v>0</v>
      </c>
      <c r="N32" s="332">
        <v>0</v>
      </c>
      <c r="O32" s="332">
        <v>0</v>
      </c>
      <c r="P32" s="332">
        <v>0</v>
      </c>
      <c r="Q32" s="332">
        <v>0</v>
      </c>
      <c r="R32" s="332">
        <v>0</v>
      </c>
      <c r="S32" s="332">
        <v>0</v>
      </c>
      <c r="T32" s="332">
        <v>0</v>
      </c>
      <c r="U32" s="332">
        <v>0</v>
      </c>
      <c r="V32" s="333">
        <v>0</v>
      </c>
      <c r="W32" s="330"/>
      <c r="X32" s="196"/>
      <c r="Y32" s="196"/>
    </row>
    <row r="33" spans="1:25" s="251" customFormat="1" ht="15.75" customHeight="1" x14ac:dyDescent="0.45">
      <c r="A33" s="268">
        <v>30</v>
      </c>
      <c r="B33" s="269" t="str">
        <f>'survey characteristics'!A31</f>
        <v>Wet Prairie Monitoring</v>
      </c>
      <c r="C33" s="270">
        <f>'survey characteristics'!F31</f>
        <v>0.512292118582791</v>
      </c>
      <c r="D33" s="271">
        <f>'survey characteristics'!C31</f>
        <v>35</v>
      </c>
      <c r="E33" s="272">
        <f>'survey characteristics'!E31</f>
        <v>5</v>
      </c>
      <c r="F33" s="272">
        <f>'survey characteristics'!H31</f>
        <v>9</v>
      </c>
      <c r="G33" s="272">
        <f t="shared" si="0"/>
        <v>68.320395201129145</v>
      </c>
      <c r="H33" s="332">
        <v>0</v>
      </c>
      <c r="I33" s="332">
        <v>0</v>
      </c>
      <c r="J33" s="332">
        <v>0</v>
      </c>
      <c r="K33" s="332">
        <v>0</v>
      </c>
      <c r="L33" s="332">
        <v>0</v>
      </c>
      <c r="M33" s="332">
        <v>0</v>
      </c>
      <c r="N33" s="332">
        <v>0</v>
      </c>
      <c r="O33" s="332">
        <v>0</v>
      </c>
      <c r="P33" s="332">
        <v>0</v>
      </c>
      <c r="Q33" s="332">
        <v>0</v>
      </c>
      <c r="R33" s="332">
        <v>0</v>
      </c>
      <c r="S33" s="332">
        <v>0</v>
      </c>
      <c r="T33" s="332">
        <v>0</v>
      </c>
      <c r="U33" s="332">
        <v>0</v>
      </c>
      <c r="V33" s="333">
        <v>0</v>
      </c>
      <c r="W33" s="331" t="s">
        <v>275</v>
      </c>
      <c r="X33" s="196"/>
      <c r="Y33" s="196"/>
    </row>
    <row r="34" spans="1:25" s="251" customFormat="1" ht="15.75" customHeight="1" x14ac:dyDescent="0.45">
      <c r="A34" s="268">
        <v>31</v>
      </c>
      <c r="B34" s="269" t="str">
        <f>'survey characteristics'!A32</f>
        <v>Wetland Vegetation Cover Survey with annual summary of mean daily Lake Erie water level/water level management.</v>
      </c>
      <c r="C34" s="270">
        <f>'survey characteristics'!F32</f>
        <v>0.53579175704989157</v>
      </c>
      <c r="D34" s="271">
        <f>'survey characteristics'!C32</f>
        <v>120</v>
      </c>
      <c r="E34" s="272">
        <f>'survey characteristics'!E32</f>
        <v>15</v>
      </c>
      <c r="F34" s="272">
        <f>'survey characteristics'!H32</f>
        <v>7</v>
      </c>
      <c r="G34" s="272">
        <f t="shared" si="0"/>
        <v>223.96761133603238</v>
      </c>
      <c r="H34" s="332">
        <v>0</v>
      </c>
      <c r="I34" s="332">
        <v>0</v>
      </c>
      <c r="J34" s="332">
        <v>0</v>
      </c>
      <c r="K34" s="332">
        <v>0</v>
      </c>
      <c r="L34" s="332">
        <v>0</v>
      </c>
      <c r="M34" s="332">
        <v>0</v>
      </c>
      <c r="N34" s="332">
        <v>0</v>
      </c>
      <c r="O34" s="332">
        <v>0</v>
      </c>
      <c r="P34" s="332">
        <v>0</v>
      </c>
      <c r="Q34" s="332">
        <v>0</v>
      </c>
      <c r="R34" s="332">
        <v>1</v>
      </c>
      <c r="S34" s="332">
        <v>0</v>
      </c>
      <c r="T34" s="332">
        <v>0</v>
      </c>
      <c r="U34" s="332">
        <v>0</v>
      </c>
      <c r="V34" s="333">
        <v>0</v>
      </c>
      <c r="W34" s="331" t="s">
        <v>275</v>
      </c>
      <c r="X34" s="196"/>
      <c r="Y34" s="196"/>
    </row>
    <row r="35" spans="1:25" x14ac:dyDescent="0.45">
      <c r="A35" s="196"/>
      <c r="B35" s="259" t="s">
        <v>276</v>
      </c>
      <c r="C35" s="249"/>
      <c r="D35" s="249"/>
      <c r="E35" s="249"/>
      <c r="F35" s="249"/>
      <c r="G35" s="249"/>
      <c r="H35" s="250">
        <f>SUMPRODUCT($C$4:$C$34,H4:H34)</f>
        <v>4.5589298626174974</v>
      </c>
      <c r="I35" s="250">
        <f t="shared" ref="I35:U35" si="2">SUMPRODUCT($C$4:$C$34,I4:I34)</f>
        <v>4.8749096167751258</v>
      </c>
      <c r="J35" s="250">
        <f t="shared" si="2"/>
        <v>2.5639913232104119</v>
      </c>
      <c r="K35" s="250">
        <f t="shared" si="2"/>
        <v>4.7384309472161954</v>
      </c>
      <c r="L35" s="250">
        <f t="shared" si="2"/>
        <v>4.7384309472161954</v>
      </c>
      <c r="M35" s="250">
        <f t="shared" si="2"/>
        <v>4.8723788864786695</v>
      </c>
      <c r="N35" s="250">
        <f t="shared" si="2"/>
        <v>4.0341648590021686</v>
      </c>
      <c r="O35" s="250">
        <f t="shared" si="2"/>
        <v>3.5101229211858276</v>
      </c>
      <c r="P35" s="250">
        <f t="shared" si="2"/>
        <v>1.9736080983369484</v>
      </c>
      <c r="Q35" s="250">
        <f t="shared" si="2"/>
        <v>2.2369848156182215</v>
      </c>
      <c r="R35" s="250">
        <f t="shared" si="2"/>
        <v>1.808749096167751</v>
      </c>
      <c r="S35" s="250">
        <f t="shared" si="2"/>
        <v>2.1247288503253796</v>
      </c>
      <c r="T35" s="250">
        <f t="shared" si="2"/>
        <v>4.225777295733911</v>
      </c>
      <c r="U35" s="250">
        <f t="shared" si="2"/>
        <v>4.2889551699204631</v>
      </c>
      <c r="V35" s="298">
        <f>SUMPRODUCT($C$4:$C$34,V4:V34)</f>
        <v>2.7514461315979752</v>
      </c>
      <c r="W35" s="296"/>
    </row>
    <row r="36" spans="1:25" x14ac:dyDescent="0.45">
      <c r="A36" s="196"/>
      <c r="B36" s="259" t="s">
        <v>277</v>
      </c>
      <c r="C36" s="249"/>
      <c r="D36" s="249"/>
      <c r="E36" s="249"/>
      <c r="F36" s="249"/>
      <c r="G36" s="249"/>
      <c r="H36" s="264">
        <f>SUMPRODUCT($D$4:$D$34,H4:H34)</f>
        <v>147.69999999999999</v>
      </c>
      <c r="I36" s="264">
        <f t="shared" ref="I36:U36" si="3">SUMPRODUCT($D$4:$D$34,I4:I34)</f>
        <v>161.19999999999999</v>
      </c>
      <c r="J36" s="264">
        <f t="shared" si="3"/>
        <v>170.2</v>
      </c>
      <c r="K36" s="264">
        <f t="shared" si="3"/>
        <v>182.7</v>
      </c>
      <c r="L36" s="264">
        <f t="shared" si="3"/>
        <v>182.7</v>
      </c>
      <c r="M36" s="264">
        <f t="shared" si="3"/>
        <v>168.7</v>
      </c>
      <c r="N36" s="264">
        <f t="shared" si="3"/>
        <v>190.2</v>
      </c>
      <c r="O36" s="264">
        <f t="shared" si="3"/>
        <v>199.2</v>
      </c>
      <c r="P36" s="264">
        <f t="shared" si="3"/>
        <v>177.5</v>
      </c>
      <c r="Q36" s="264">
        <f t="shared" si="3"/>
        <v>186</v>
      </c>
      <c r="R36" s="264">
        <f t="shared" si="3"/>
        <v>192.2</v>
      </c>
      <c r="S36" s="264">
        <f t="shared" si="3"/>
        <v>213.2</v>
      </c>
      <c r="T36" s="264">
        <f t="shared" si="3"/>
        <v>410</v>
      </c>
      <c r="U36" s="264">
        <f t="shared" si="3"/>
        <v>141.75</v>
      </c>
      <c r="V36" s="299">
        <f>SUMPRODUCT($D$4:$D$34,V4:V34)</f>
        <v>210.75</v>
      </c>
      <c r="W36" s="296"/>
    </row>
    <row r="37" spans="1:25" ht="14.65" thickBot="1" x14ac:dyDescent="0.5">
      <c r="A37" s="196"/>
      <c r="B37" s="259" t="s">
        <v>278</v>
      </c>
      <c r="C37" s="249"/>
      <c r="D37" s="249"/>
      <c r="E37" s="249"/>
      <c r="F37" s="249"/>
      <c r="G37" s="249"/>
      <c r="H37" s="248">
        <f>SUM(H4:H34)</f>
        <v>9</v>
      </c>
      <c r="I37" s="248">
        <f t="shared" ref="I37:U37" si="4">SUM(I4:I34)</f>
        <v>10</v>
      </c>
      <c r="J37" s="248">
        <f t="shared" si="4"/>
        <v>6</v>
      </c>
      <c r="K37" s="248">
        <f t="shared" si="4"/>
        <v>10</v>
      </c>
      <c r="L37" s="248">
        <f t="shared" si="4"/>
        <v>10</v>
      </c>
      <c r="M37" s="248">
        <f t="shared" si="4"/>
        <v>10</v>
      </c>
      <c r="N37" s="248">
        <f t="shared" si="4"/>
        <v>9</v>
      </c>
      <c r="O37" s="248">
        <f t="shared" si="4"/>
        <v>8</v>
      </c>
      <c r="P37" s="248">
        <f t="shared" si="4"/>
        <v>4</v>
      </c>
      <c r="Q37" s="248">
        <f t="shared" si="4"/>
        <v>4</v>
      </c>
      <c r="R37" s="248">
        <f t="shared" si="4"/>
        <v>4</v>
      </c>
      <c r="S37" s="248">
        <f t="shared" si="4"/>
        <v>5</v>
      </c>
      <c r="T37" s="248">
        <f t="shared" si="4"/>
        <v>8</v>
      </c>
      <c r="U37" s="248">
        <f t="shared" si="4"/>
        <v>10</v>
      </c>
      <c r="V37" s="300">
        <f>SUM(V4:V34)</f>
        <v>5</v>
      </c>
      <c r="W37" s="301">
        <f>COUNTA(W4:W34)</f>
        <v>10</v>
      </c>
    </row>
    <row r="38" spans="1:25" x14ac:dyDescent="0.45">
      <c r="A38" s="196"/>
      <c r="B38" s="309" t="s">
        <v>279</v>
      </c>
      <c r="C38" s="310"/>
      <c r="D38" s="311">
        <f>'annual time budget'!O20*15</f>
        <v>171.6</v>
      </c>
      <c r="E38" s="251"/>
      <c r="F38" s="251"/>
      <c r="G38" s="251"/>
      <c r="H38" s="251"/>
      <c r="I38" s="251"/>
      <c r="J38" s="251"/>
      <c r="K38" s="251"/>
      <c r="L38" s="251"/>
      <c r="M38" s="251"/>
      <c r="U38" s="324"/>
      <c r="V38" s="312">
        <f>V36/D38*100-100</f>
        <v>22.814685314685306</v>
      </c>
      <c r="W38" s="314" t="s">
        <v>280</v>
      </c>
    </row>
    <row r="39" spans="1:25" x14ac:dyDescent="0.45">
      <c r="U39" s="323"/>
      <c r="V39" s="313">
        <f>V36-D38</f>
        <v>39.150000000000006</v>
      </c>
      <c r="W39" s="314" t="s">
        <v>281</v>
      </c>
    </row>
    <row r="40" spans="1:25" x14ac:dyDescent="0.45">
      <c r="U40" s="323"/>
      <c r="V40" s="323"/>
    </row>
  </sheetData>
  <mergeCells count="1">
    <mergeCell ref="V1:W1"/>
  </mergeCells>
  <conditionalFormatting sqref="V4:V34 H4:U4 H5:S7 H8:U8 H9:S9 H11:S34 H10:U10">
    <cfRule type="colorScale" priority="7">
      <colorScale>
        <cfvo type="min"/>
        <cfvo type="max"/>
        <color rgb="FFFCFCFF"/>
        <color rgb="FF63BE7B"/>
      </colorScale>
    </cfRule>
  </conditionalFormatting>
  <conditionalFormatting sqref="G4:G34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6">
      <colorScale>
        <cfvo type="min"/>
        <cfvo type="max"/>
        <color rgb="FFFCFCFF"/>
        <color rgb="FFF8696B"/>
      </colorScale>
    </cfRule>
  </conditionalFormatting>
  <conditionalFormatting sqref="F4:F34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5:T7 T9 T11:T34">
    <cfRule type="colorScale" priority="3">
      <colorScale>
        <cfvo type="min"/>
        <cfvo type="max"/>
        <color rgb="FFFCFCFF"/>
        <color rgb="FF63BE7B"/>
      </colorScale>
    </cfRule>
  </conditionalFormatting>
  <conditionalFormatting sqref="U5:U7 U9 U11:U34">
    <cfRule type="colorScale" priority="2">
      <colorScale>
        <cfvo type="min"/>
        <cfvo type="max"/>
        <color rgb="FFFCFCFF"/>
        <color rgb="FF63BE7B"/>
      </colorScale>
    </cfRule>
  </conditionalFormatting>
  <conditionalFormatting sqref="H36:V36">
    <cfRule type="cellIs" dxfId="0" priority="1" operator="greaterThan">
      <formula>$D$38</formula>
    </cfRule>
  </conditionalFormatting>
  <pageMargins left="0.7" right="0.7" top="0.75" bottom="0.75" header="0.3" footer="0.3"/>
  <pageSetup fitToHeight="0"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pageSetUpPr fitToPage="1"/>
  </sheetPr>
  <dimension ref="A1:I36"/>
  <sheetViews>
    <sheetView tabSelected="1" zoomScaleNormal="100" workbookViewId="0">
      <selection activeCell="O12" sqref="O12"/>
    </sheetView>
  </sheetViews>
  <sheetFormatPr defaultColWidth="8.86328125" defaultRowHeight="14.25" x14ac:dyDescent="0.45"/>
  <cols>
    <col min="1" max="1" width="42.59765625" style="254" customWidth="1"/>
    <col min="2" max="2" width="8" style="249" customWidth="1"/>
    <col min="3" max="3" width="10.59765625" style="249" customWidth="1"/>
    <col min="4" max="4" width="6.3984375" style="249" customWidth="1"/>
    <col min="5" max="5" width="7.265625" style="249" customWidth="1"/>
    <col min="6" max="6" width="16.59765625" style="249" customWidth="1"/>
    <col min="7" max="7" width="14.1328125" style="249" customWidth="1"/>
    <col min="8" max="8" width="22.59765625" style="249" customWidth="1"/>
    <col min="9" max="16384" width="8.86328125" style="249"/>
  </cols>
  <sheetData>
    <row r="1" spans="1:9" ht="18" x14ac:dyDescent="0.55000000000000004">
      <c r="A1" s="302" t="s">
        <v>282</v>
      </c>
      <c r="B1" s="334"/>
      <c r="C1" s="334"/>
      <c r="D1" s="335"/>
      <c r="E1" s="335"/>
      <c r="F1" s="335"/>
      <c r="G1" s="335"/>
      <c r="H1" s="335"/>
      <c r="I1" s="335"/>
    </row>
    <row r="2" spans="1:9" ht="18" x14ac:dyDescent="0.55000000000000004">
      <c r="A2" s="302"/>
      <c r="B2" s="334"/>
      <c r="C2" s="334"/>
      <c r="D2" s="335"/>
      <c r="E2" s="335"/>
      <c r="F2" s="335"/>
      <c r="G2" s="335"/>
      <c r="H2" s="335"/>
      <c r="I2" s="335"/>
    </row>
    <row r="3" spans="1:9" ht="13.5" customHeight="1" x14ac:dyDescent="0.45">
      <c r="A3" s="262" t="s">
        <v>148</v>
      </c>
      <c r="B3" s="257" t="s">
        <v>255</v>
      </c>
      <c r="C3" s="257" t="s">
        <v>213</v>
      </c>
      <c r="D3" s="257" t="s">
        <v>257</v>
      </c>
      <c r="E3" s="257" t="s">
        <v>258</v>
      </c>
      <c r="F3" s="303" t="s">
        <v>283</v>
      </c>
      <c r="G3" s="304" t="s">
        <v>253</v>
      </c>
      <c r="H3" s="336" t="s">
        <v>284</v>
      </c>
    </row>
    <row r="4" spans="1:9" ht="15.75" customHeight="1" x14ac:dyDescent="0.45">
      <c r="A4" s="269" t="s">
        <v>75</v>
      </c>
      <c r="B4" s="270">
        <v>0.70046999276934196</v>
      </c>
      <c r="C4" s="271">
        <v>22.5</v>
      </c>
      <c r="D4" s="272">
        <v>1</v>
      </c>
      <c r="E4" s="272">
        <v>32.121290322580649</v>
      </c>
      <c r="F4" s="333">
        <v>1</v>
      </c>
      <c r="G4" s="329" t="s">
        <v>274</v>
      </c>
      <c r="H4" s="249">
        <v>1</v>
      </c>
    </row>
    <row r="5" spans="1:9" s="291" customFormat="1" ht="15.75" customHeight="1" x14ac:dyDescent="0.45">
      <c r="A5" s="269" t="s">
        <v>76</v>
      </c>
      <c r="B5" s="270">
        <v>0.68474331164135938</v>
      </c>
      <c r="C5" s="271">
        <v>22.5</v>
      </c>
      <c r="D5" s="272">
        <v>2</v>
      </c>
      <c r="E5" s="272">
        <v>32.859028511087644</v>
      </c>
      <c r="F5" s="333">
        <v>1</v>
      </c>
      <c r="G5" s="329" t="s">
        <v>274</v>
      </c>
      <c r="H5" s="249">
        <v>2</v>
      </c>
      <c r="I5" s="249"/>
    </row>
    <row r="6" spans="1:9" ht="15.75" customHeight="1" x14ac:dyDescent="0.45">
      <c r="A6" s="269" t="s">
        <v>77</v>
      </c>
      <c r="B6" s="245">
        <v>0.56525668835864062</v>
      </c>
      <c r="C6" s="246">
        <v>11.25</v>
      </c>
      <c r="D6" s="247">
        <v>6</v>
      </c>
      <c r="E6" s="247">
        <v>19.902462424048608</v>
      </c>
      <c r="F6" s="328">
        <v>1</v>
      </c>
      <c r="G6" s="329" t="s">
        <v>274</v>
      </c>
      <c r="H6" s="249">
        <v>3</v>
      </c>
    </row>
    <row r="7" spans="1:9" ht="15.75" customHeight="1" x14ac:dyDescent="0.45">
      <c r="A7" s="269" t="s">
        <v>58</v>
      </c>
      <c r="B7" s="270">
        <v>0.43022415039768613</v>
      </c>
      <c r="C7" s="271">
        <v>97.5</v>
      </c>
      <c r="D7" s="272">
        <v>16</v>
      </c>
      <c r="E7" s="272">
        <v>226.6260504201681</v>
      </c>
      <c r="F7" s="333">
        <v>1</v>
      </c>
      <c r="G7" s="329" t="s">
        <v>274</v>
      </c>
      <c r="H7" s="249">
        <v>4</v>
      </c>
    </row>
    <row r="8" spans="1:9" ht="15.75" customHeight="1" x14ac:dyDescent="0.45">
      <c r="A8" s="305" t="s">
        <v>67</v>
      </c>
      <c r="B8" s="306">
        <v>0.37075198843094714</v>
      </c>
      <c r="C8" s="307">
        <v>57</v>
      </c>
      <c r="D8" s="308">
        <v>21</v>
      </c>
      <c r="E8" s="308">
        <v>153.74158946855195</v>
      </c>
      <c r="F8" s="337">
        <v>1</v>
      </c>
      <c r="G8" s="338" t="s">
        <v>274</v>
      </c>
      <c r="H8" s="316">
        <v>5</v>
      </c>
    </row>
    <row r="9" spans="1:9" ht="15.75" customHeight="1" x14ac:dyDescent="0.45">
      <c r="A9" s="269" t="s">
        <v>73</v>
      </c>
      <c r="B9" s="270">
        <v>0.44486623282718724</v>
      </c>
      <c r="C9" s="271">
        <v>5.1999999999999993</v>
      </c>
      <c r="D9" s="272">
        <v>13</v>
      </c>
      <c r="E9" s="272">
        <v>11.68890694839496</v>
      </c>
      <c r="F9" s="333">
        <v>0</v>
      </c>
      <c r="G9" s="331" t="s">
        <v>275</v>
      </c>
      <c r="H9" s="249">
        <v>6</v>
      </c>
    </row>
    <row r="10" spans="1:9" ht="15.75" customHeight="1" x14ac:dyDescent="0.45">
      <c r="A10" s="269" t="s">
        <v>60</v>
      </c>
      <c r="B10" s="245">
        <v>0.59797541576283442</v>
      </c>
      <c r="C10" s="246">
        <v>75</v>
      </c>
      <c r="D10" s="247">
        <v>3</v>
      </c>
      <c r="E10" s="247">
        <v>125.42321644498186</v>
      </c>
      <c r="F10" s="328">
        <v>0</v>
      </c>
      <c r="G10" s="331" t="s">
        <v>275</v>
      </c>
      <c r="H10" s="249">
        <v>7</v>
      </c>
    </row>
    <row r="11" spans="1:9" ht="15.75" customHeight="1" x14ac:dyDescent="0.45">
      <c r="A11" s="269" t="s">
        <v>51</v>
      </c>
      <c r="B11" s="270">
        <v>0.59544468546637741</v>
      </c>
      <c r="C11" s="271">
        <v>82.5</v>
      </c>
      <c r="D11" s="272">
        <v>4</v>
      </c>
      <c r="E11" s="272">
        <v>138.55191256830602</v>
      </c>
      <c r="F11" s="333">
        <v>0</v>
      </c>
      <c r="G11" s="331" t="s">
        <v>275</v>
      </c>
      <c r="H11" s="249">
        <v>8</v>
      </c>
    </row>
    <row r="12" spans="1:9" s="292" customFormat="1" ht="15.75" customHeight="1" x14ac:dyDescent="0.45">
      <c r="A12" s="269" t="s">
        <v>59</v>
      </c>
      <c r="B12" s="270">
        <v>0.53579175704989157</v>
      </c>
      <c r="C12" s="271">
        <v>120</v>
      </c>
      <c r="D12" s="272">
        <v>7</v>
      </c>
      <c r="E12" s="272">
        <v>223.96761133603238</v>
      </c>
      <c r="F12" s="333">
        <v>0</v>
      </c>
      <c r="G12" s="331" t="s">
        <v>275</v>
      </c>
      <c r="H12" s="249">
        <v>9</v>
      </c>
      <c r="I12" s="249"/>
    </row>
    <row r="13" spans="1:9" s="292" customFormat="1" ht="15.75" customHeight="1" x14ac:dyDescent="0.45">
      <c r="A13" s="305" t="s">
        <v>61</v>
      </c>
      <c r="B13" s="306">
        <v>0.512292118582791</v>
      </c>
      <c r="C13" s="307">
        <v>35</v>
      </c>
      <c r="D13" s="308">
        <v>9</v>
      </c>
      <c r="E13" s="308">
        <v>68.320395201129145</v>
      </c>
      <c r="F13" s="337">
        <v>0</v>
      </c>
      <c r="G13" s="339" t="s">
        <v>275</v>
      </c>
      <c r="H13" s="316">
        <v>10</v>
      </c>
      <c r="I13" s="249"/>
    </row>
    <row r="14" spans="1:9" s="292" customFormat="1" ht="15.75" customHeight="1" x14ac:dyDescent="0.45">
      <c r="A14" s="269" t="s">
        <v>50</v>
      </c>
      <c r="B14" s="270">
        <v>0.58622559652928419</v>
      </c>
      <c r="C14" s="271">
        <v>82.5</v>
      </c>
      <c r="D14" s="272">
        <v>5</v>
      </c>
      <c r="E14" s="272">
        <v>140.73080481036078</v>
      </c>
      <c r="F14" s="333">
        <v>0</v>
      </c>
      <c r="G14" s="317" t="s">
        <v>285</v>
      </c>
      <c r="H14" s="249">
        <v>11</v>
      </c>
      <c r="I14" s="249"/>
    </row>
    <row r="15" spans="1:9" s="292" customFormat="1" ht="15.75" customHeight="1" x14ac:dyDescent="0.45">
      <c r="A15" s="269" t="s">
        <v>74</v>
      </c>
      <c r="B15" s="270">
        <v>0.51518438177874193</v>
      </c>
      <c r="C15" s="271">
        <v>15</v>
      </c>
      <c r="D15" s="272">
        <v>8</v>
      </c>
      <c r="E15" s="272">
        <v>29.115789473684206</v>
      </c>
      <c r="F15" s="333">
        <v>0</v>
      </c>
      <c r="G15" s="317" t="s">
        <v>285</v>
      </c>
      <c r="H15" s="249">
        <v>12</v>
      </c>
      <c r="I15" s="249"/>
    </row>
    <row r="16" spans="1:9" s="292" customFormat="1" ht="15.75" customHeight="1" x14ac:dyDescent="0.45">
      <c r="A16" s="269" t="s">
        <v>56</v>
      </c>
      <c r="B16" s="245">
        <v>0.48879248011569054</v>
      </c>
      <c r="C16" s="246">
        <v>82.5</v>
      </c>
      <c r="D16" s="247">
        <v>10</v>
      </c>
      <c r="E16" s="247">
        <v>168.78328402366864</v>
      </c>
      <c r="F16" s="328">
        <v>0</v>
      </c>
      <c r="G16" s="317" t="s">
        <v>285</v>
      </c>
      <c r="H16" s="249">
        <v>13</v>
      </c>
      <c r="I16" s="249"/>
    </row>
    <row r="17" spans="1:9" s="292" customFormat="1" ht="15.75" customHeight="1" x14ac:dyDescent="0.45">
      <c r="A17" s="269" t="s">
        <v>57</v>
      </c>
      <c r="B17" s="270">
        <v>0.46113521330441071</v>
      </c>
      <c r="C17" s="271">
        <v>82.5</v>
      </c>
      <c r="D17" s="272">
        <v>11</v>
      </c>
      <c r="E17" s="272">
        <v>178.90631125049001</v>
      </c>
      <c r="F17" s="333">
        <v>0</v>
      </c>
      <c r="G17" s="317" t="s">
        <v>285</v>
      </c>
      <c r="H17" s="249">
        <v>14</v>
      </c>
      <c r="I17" s="249"/>
    </row>
    <row r="18" spans="1:9" s="292" customFormat="1" ht="15.75" customHeight="1" x14ac:dyDescent="0.45">
      <c r="A18" s="269" t="s">
        <v>69</v>
      </c>
      <c r="B18" s="245">
        <v>0.44649313087490961</v>
      </c>
      <c r="C18" s="246">
        <v>7.5</v>
      </c>
      <c r="D18" s="247">
        <v>12</v>
      </c>
      <c r="E18" s="247">
        <v>16.79757085020243</v>
      </c>
      <c r="F18" s="328">
        <v>0</v>
      </c>
      <c r="G18" s="317" t="s">
        <v>285</v>
      </c>
      <c r="H18" s="249">
        <v>15</v>
      </c>
      <c r="I18" s="249"/>
    </row>
    <row r="19" spans="1:9" s="292" customFormat="1" ht="15.75" customHeight="1" x14ac:dyDescent="0.45">
      <c r="A19" s="269" t="s">
        <v>62</v>
      </c>
      <c r="B19" s="270">
        <v>0.43872017353579174</v>
      </c>
      <c r="C19" s="271">
        <v>165</v>
      </c>
      <c r="D19" s="272">
        <v>14</v>
      </c>
      <c r="E19" s="272">
        <v>376.09394313967863</v>
      </c>
      <c r="F19" s="333">
        <v>0</v>
      </c>
      <c r="G19" s="317" t="s">
        <v>285</v>
      </c>
      <c r="H19" s="249">
        <v>16</v>
      </c>
      <c r="I19" s="249"/>
    </row>
    <row r="20" spans="1:9" s="292" customFormat="1" ht="15.75" customHeight="1" x14ac:dyDescent="0.45">
      <c r="A20" s="269" t="s">
        <v>71</v>
      </c>
      <c r="B20" s="270">
        <v>0.43383947939262468</v>
      </c>
      <c r="C20" s="271">
        <v>0</v>
      </c>
      <c r="D20" s="272">
        <v>15</v>
      </c>
      <c r="E20" s="272">
        <v>0</v>
      </c>
      <c r="F20" s="333">
        <v>0</v>
      </c>
      <c r="G20" s="317" t="s">
        <v>285</v>
      </c>
      <c r="H20" s="249">
        <v>17</v>
      </c>
      <c r="I20" s="249"/>
    </row>
    <row r="21" spans="1:9" s="292" customFormat="1" ht="15.75" customHeight="1" x14ac:dyDescent="0.45">
      <c r="A21" s="269" t="s">
        <v>63</v>
      </c>
      <c r="B21" s="270">
        <v>0.42154736080983368</v>
      </c>
      <c r="C21" s="271">
        <v>43.500000000000007</v>
      </c>
      <c r="D21" s="272">
        <v>17</v>
      </c>
      <c r="E21" s="272">
        <v>103.19125214408236</v>
      </c>
      <c r="F21" s="333">
        <v>0</v>
      </c>
      <c r="G21" s="317" t="s">
        <v>285</v>
      </c>
      <c r="H21" s="249">
        <v>18</v>
      </c>
      <c r="I21" s="249"/>
    </row>
    <row r="22" spans="1:9" s="292" customFormat="1" ht="15.75" customHeight="1" x14ac:dyDescent="0.45">
      <c r="A22" s="269" t="s">
        <v>68</v>
      </c>
      <c r="B22" s="270">
        <v>0.42136659436008672</v>
      </c>
      <c r="C22" s="271">
        <v>14</v>
      </c>
      <c r="D22" s="272">
        <v>18</v>
      </c>
      <c r="E22" s="272">
        <v>33.22522522522523</v>
      </c>
      <c r="F22" s="333">
        <v>0</v>
      </c>
      <c r="G22" s="317" t="s">
        <v>285</v>
      </c>
      <c r="H22" s="249">
        <v>19</v>
      </c>
      <c r="I22" s="249"/>
    </row>
    <row r="23" spans="1:9" s="292" customFormat="1" ht="15.75" customHeight="1" x14ac:dyDescent="0.45">
      <c r="A23" s="269" t="s">
        <v>64</v>
      </c>
      <c r="B23" s="270">
        <v>0.40672451193058567</v>
      </c>
      <c r="C23" s="271">
        <v>53</v>
      </c>
      <c r="D23" s="272">
        <v>19</v>
      </c>
      <c r="E23" s="272">
        <v>130.30933333333334</v>
      </c>
      <c r="F23" s="333">
        <v>0</v>
      </c>
      <c r="G23" s="317" t="s">
        <v>285</v>
      </c>
      <c r="H23" s="249">
        <v>20</v>
      </c>
      <c r="I23" s="249"/>
    </row>
    <row r="24" spans="1:9" s="292" customFormat="1" ht="15.75" customHeight="1" x14ac:dyDescent="0.45">
      <c r="A24" s="269" t="s">
        <v>70</v>
      </c>
      <c r="B24" s="245">
        <v>0.39614967462039041</v>
      </c>
      <c r="C24" s="246">
        <v>0</v>
      </c>
      <c r="D24" s="247">
        <v>20</v>
      </c>
      <c r="E24" s="247">
        <v>0</v>
      </c>
      <c r="F24" s="328">
        <v>0</v>
      </c>
      <c r="G24" s="317" t="s">
        <v>285</v>
      </c>
      <c r="H24" s="249">
        <v>21</v>
      </c>
      <c r="I24" s="249"/>
    </row>
    <row r="25" spans="1:9" s="292" customFormat="1" ht="15.75" customHeight="1" x14ac:dyDescent="0.45">
      <c r="A25" s="269" t="s">
        <v>49</v>
      </c>
      <c r="B25" s="270">
        <v>0.3694866232827187</v>
      </c>
      <c r="C25" s="271">
        <v>195</v>
      </c>
      <c r="D25" s="272">
        <v>22</v>
      </c>
      <c r="E25" s="272">
        <v>527.75929549902162</v>
      </c>
      <c r="F25" s="333">
        <v>0</v>
      </c>
      <c r="G25" s="317" t="s">
        <v>285</v>
      </c>
      <c r="H25" s="249">
        <v>22</v>
      </c>
      <c r="I25" s="249"/>
    </row>
    <row r="26" spans="1:9" s="292" customFormat="1" ht="15.75" customHeight="1" x14ac:dyDescent="0.45">
      <c r="A26" s="269" t="s">
        <v>72</v>
      </c>
      <c r="B26" s="270">
        <v>0.33920824295010843</v>
      </c>
      <c r="C26" s="271">
        <v>0</v>
      </c>
      <c r="D26" s="272">
        <v>23</v>
      </c>
      <c r="E26" s="272">
        <v>0</v>
      </c>
      <c r="F26" s="333">
        <v>0</v>
      </c>
      <c r="G26" s="317" t="s">
        <v>285</v>
      </c>
      <c r="H26" s="249">
        <v>23</v>
      </c>
      <c r="I26" s="249"/>
    </row>
    <row r="27" spans="1:9" s="292" customFormat="1" ht="15.75" customHeight="1" x14ac:dyDescent="0.45">
      <c r="A27" s="269" t="s">
        <v>79</v>
      </c>
      <c r="B27" s="245">
        <v>0.32248734634851767</v>
      </c>
      <c r="C27" s="246">
        <v>10.5</v>
      </c>
      <c r="D27" s="247">
        <v>24</v>
      </c>
      <c r="E27" s="247">
        <v>32.559417040358753</v>
      </c>
      <c r="F27" s="328">
        <v>0</v>
      </c>
      <c r="G27" s="317" t="s">
        <v>285</v>
      </c>
      <c r="H27" s="249">
        <v>24</v>
      </c>
      <c r="I27" s="249"/>
    </row>
    <row r="28" spans="1:9" s="292" customFormat="1" ht="15.75" customHeight="1" x14ac:dyDescent="0.45">
      <c r="A28" s="269" t="s">
        <v>66</v>
      </c>
      <c r="B28" s="270">
        <v>0.3159797541576283</v>
      </c>
      <c r="C28" s="271">
        <v>13.5</v>
      </c>
      <c r="D28" s="272">
        <v>25</v>
      </c>
      <c r="E28" s="272">
        <v>42.724256292906183</v>
      </c>
      <c r="F28" s="333">
        <v>0</v>
      </c>
      <c r="G28" s="317" t="s">
        <v>285</v>
      </c>
      <c r="H28" s="249">
        <v>25</v>
      </c>
      <c r="I28" s="249"/>
    </row>
    <row r="29" spans="1:9" s="292" customFormat="1" ht="15.75" customHeight="1" x14ac:dyDescent="0.45">
      <c r="A29" s="269" t="s">
        <v>52</v>
      </c>
      <c r="B29" s="270">
        <v>0.30892986261749816</v>
      </c>
      <c r="C29" s="271">
        <v>240</v>
      </c>
      <c r="D29" s="272">
        <v>26</v>
      </c>
      <c r="E29" s="272">
        <v>776.87536571094211</v>
      </c>
      <c r="F29" s="333">
        <v>0</v>
      </c>
      <c r="G29" s="317" t="s">
        <v>285</v>
      </c>
      <c r="H29" s="249">
        <v>26</v>
      </c>
      <c r="I29" s="249"/>
    </row>
    <row r="30" spans="1:9" s="292" customFormat="1" ht="15.75" customHeight="1" x14ac:dyDescent="0.45">
      <c r="A30" s="269" t="s">
        <v>55</v>
      </c>
      <c r="B30" s="270">
        <v>0.30694143167028198</v>
      </c>
      <c r="C30" s="271">
        <v>82.5</v>
      </c>
      <c r="D30" s="272">
        <v>27</v>
      </c>
      <c r="E30" s="272">
        <v>268.78091872791521</v>
      </c>
      <c r="F30" s="333">
        <v>0</v>
      </c>
      <c r="G30" s="317" t="s">
        <v>285</v>
      </c>
      <c r="H30" s="249">
        <v>27</v>
      </c>
      <c r="I30" s="249"/>
    </row>
    <row r="31" spans="1:9" s="292" customFormat="1" ht="15.75" customHeight="1" x14ac:dyDescent="0.45">
      <c r="A31" s="269" t="s">
        <v>54</v>
      </c>
      <c r="B31" s="270">
        <v>0.29067245119305857</v>
      </c>
      <c r="C31" s="271">
        <v>90</v>
      </c>
      <c r="D31" s="272">
        <v>28</v>
      </c>
      <c r="E31" s="272">
        <v>309.62686567164178</v>
      </c>
      <c r="F31" s="333">
        <v>0</v>
      </c>
      <c r="G31" s="317" t="s">
        <v>285</v>
      </c>
      <c r="H31" s="249">
        <v>28</v>
      </c>
      <c r="I31" s="249"/>
    </row>
    <row r="32" spans="1:9" s="292" customFormat="1" ht="15.75" customHeight="1" x14ac:dyDescent="0.45">
      <c r="A32" s="269" t="s">
        <v>53</v>
      </c>
      <c r="B32" s="245">
        <v>0.24566160520607375</v>
      </c>
      <c r="C32" s="246">
        <v>240</v>
      </c>
      <c r="D32" s="247">
        <v>29</v>
      </c>
      <c r="E32" s="247">
        <v>976.95364238410593</v>
      </c>
      <c r="F32" s="328">
        <v>0</v>
      </c>
      <c r="G32" s="317" t="s">
        <v>285</v>
      </c>
      <c r="H32" s="249">
        <v>29</v>
      </c>
      <c r="I32" s="249"/>
    </row>
    <row r="33" spans="1:9" s="292" customFormat="1" ht="15.75" customHeight="1" x14ac:dyDescent="0.45">
      <c r="A33" s="269" t="s">
        <v>78</v>
      </c>
      <c r="B33" s="245">
        <v>0.21484092552422268</v>
      </c>
      <c r="C33" s="246">
        <v>18</v>
      </c>
      <c r="D33" s="247">
        <v>30</v>
      </c>
      <c r="E33" s="247">
        <v>83.782919646613394</v>
      </c>
      <c r="F33" s="328">
        <v>0</v>
      </c>
      <c r="G33" s="317" t="s">
        <v>285</v>
      </c>
      <c r="H33" s="249">
        <v>30</v>
      </c>
      <c r="I33" s="249"/>
    </row>
    <row r="34" spans="1:9" s="292" customFormat="1" ht="15.75" customHeight="1" x14ac:dyDescent="0.45">
      <c r="A34" s="269" t="s">
        <v>65</v>
      </c>
      <c r="B34" s="270">
        <v>0.17227042660882139</v>
      </c>
      <c r="C34" s="271">
        <v>720</v>
      </c>
      <c r="D34" s="272">
        <v>31</v>
      </c>
      <c r="E34" s="272">
        <v>4179.475341028332</v>
      </c>
      <c r="F34" s="333">
        <v>0</v>
      </c>
      <c r="G34" s="317" t="s">
        <v>285</v>
      </c>
      <c r="H34" s="249">
        <v>31</v>
      </c>
      <c r="I34" s="249"/>
    </row>
    <row r="35" spans="1:9" x14ac:dyDescent="0.45">
      <c r="G35" s="334"/>
    </row>
    <row r="36" spans="1:9" x14ac:dyDescent="0.45">
      <c r="G36" s="334"/>
    </row>
  </sheetData>
  <conditionalFormatting sqref="F4:F34">
    <cfRule type="colorScale" priority="4">
      <colorScale>
        <cfvo type="min"/>
        <cfvo type="max"/>
        <color rgb="FFFCFCFF"/>
        <color rgb="FF63BE7B"/>
      </colorScale>
    </cfRule>
  </conditionalFormatting>
  <conditionalFormatting sqref="E4:E34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max"/>
        <color rgb="FFFCFCFF"/>
        <color rgb="FFF8696B"/>
      </colorScale>
    </cfRule>
  </conditionalFormatting>
  <conditionalFormatting sqref="D4:D3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pageSetup fitToHeight="0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AN1"/>
  <sheetViews>
    <sheetView workbookViewId="0">
      <selection sqref="A1:AN2"/>
    </sheetView>
  </sheetViews>
  <sheetFormatPr defaultRowHeight="12.75" x14ac:dyDescent="0.35"/>
  <cols>
    <col min="1" max="1" width="7.86328125" bestFit="1" customWidth="1"/>
    <col min="2" max="2" width="31.86328125" bestFit="1" customWidth="1"/>
    <col min="3" max="3" width="7.73046875" bestFit="1" customWidth="1"/>
    <col min="4" max="4" width="9" bestFit="1" customWidth="1"/>
    <col min="5" max="5" width="54" customWidth="1"/>
    <col min="6" max="6" width="59" customWidth="1"/>
    <col min="7" max="7" width="36.86328125" bestFit="1" customWidth="1"/>
    <col min="8" max="8" width="19.59765625" customWidth="1"/>
    <col min="9" max="9" width="8.73046875" bestFit="1" customWidth="1"/>
    <col min="10" max="10" width="7.86328125" bestFit="1" customWidth="1"/>
    <col min="11" max="11" width="10.265625" bestFit="1" customWidth="1"/>
    <col min="12" max="12" width="9.73046875" bestFit="1" customWidth="1"/>
    <col min="13" max="13" width="5.59765625" bestFit="1" customWidth="1"/>
    <col min="14" max="14" width="6.73046875" bestFit="1" customWidth="1"/>
    <col min="15" max="15" width="15.86328125" customWidth="1"/>
    <col min="16" max="16" width="11.59765625" customWidth="1"/>
    <col min="17" max="17" width="10.3984375" bestFit="1" customWidth="1"/>
    <col min="18" max="18" width="8.59765625" bestFit="1" customWidth="1"/>
    <col min="19" max="19" width="7.1328125" bestFit="1" customWidth="1"/>
    <col min="20" max="20" width="8.3984375" bestFit="1" customWidth="1"/>
    <col min="21" max="21" width="9.86328125" bestFit="1" customWidth="1"/>
    <col min="22" max="22" width="64.265625" customWidth="1"/>
    <col min="23" max="23" width="11.59765625" bestFit="1" customWidth="1"/>
    <col min="24" max="24" width="8.73046875" bestFit="1" customWidth="1"/>
    <col min="25" max="25" width="6.3984375" bestFit="1" customWidth="1"/>
    <col min="26" max="26" width="9.73046875" bestFit="1" customWidth="1"/>
    <col min="27" max="27" width="8.1328125" bestFit="1" customWidth="1"/>
    <col min="28" max="28" width="7" bestFit="1" customWidth="1"/>
    <col min="29" max="29" width="10.86328125" bestFit="1" customWidth="1"/>
    <col min="30" max="30" width="8.73046875" bestFit="1" customWidth="1"/>
    <col min="31" max="31" width="12.86328125" bestFit="1" customWidth="1"/>
    <col min="32" max="32" width="8.1328125" bestFit="1" customWidth="1"/>
    <col min="33" max="33" width="7.86328125" bestFit="1" customWidth="1"/>
    <col min="34" max="34" width="6.59765625" bestFit="1" customWidth="1"/>
    <col min="35" max="35" width="8.59765625" bestFit="1" customWidth="1"/>
    <col min="36" max="36" width="10.3984375" bestFit="1" customWidth="1"/>
    <col min="37" max="37" width="13.265625" customWidth="1"/>
    <col min="38" max="38" width="9.73046875" bestFit="1" customWidth="1"/>
    <col min="39" max="39" width="8.73046875" bestFit="1" customWidth="1"/>
    <col min="40" max="40" width="10.59765625" bestFit="1" customWidth="1"/>
  </cols>
  <sheetData>
    <row r="1" spans="1:40" x14ac:dyDescent="0.35">
      <c r="A1" s="72" t="s">
        <v>286</v>
      </c>
      <c r="B1" s="72" t="s">
        <v>287</v>
      </c>
      <c r="C1" s="72" t="s">
        <v>288</v>
      </c>
      <c r="D1" s="72" t="s">
        <v>289</v>
      </c>
      <c r="E1" s="72" t="s">
        <v>290</v>
      </c>
      <c r="F1" s="72" t="s">
        <v>291</v>
      </c>
      <c r="G1" s="72" t="s">
        <v>292</v>
      </c>
      <c r="H1" s="72" t="s">
        <v>293</v>
      </c>
      <c r="I1" s="72" t="s">
        <v>294</v>
      </c>
      <c r="J1" s="72" t="s">
        <v>295</v>
      </c>
      <c r="K1" s="72" t="s">
        <v>296</v>
      </c>
      <c r="L1" s="72" t="s">
        <v>297</v>
      </c>
      <c r="M1" s="72" t="s">
        <v>18</v>
      </c>
      <c r="N1" s="72" t="s">
        <v>298</v>
      </c>
      <c r="O1" s="72" t="s">
        <v>299</v>
      </c>
      <c r="P1" s="72" t="s">
        <v>300</v>
      </c>
      <c r="Q1" s="72" t="s">
        <v>301</v>
      </c>
      <c r="R1" s="72" t="s">
        <v>302</v>
      </c>
      <c r="S1" s="72" t="s">
        <v>303</v>
      </c>
      <c r="T1" s="72" t="s">
        <v>304</v>
      </c>
      <c r="U1" s="72" t="s">
        <v>305</v>
      </c>
      <c r="V1" s="72" t="s">
        <v>306</v>
      </c>
      <c r="W1" s="72" t="s">
        <v>307</v>
      </c>
      <c r="X1" s="72" t="s">
        <v>308</v>
      </c>
      <c r="Y1" s="72" t="s">
        <v>309</v>
      </c>
      <c r="Z1" s="72" t="s">
        <v>105</v>
      </c>
      <c r="AA1" s="72" t="s">
        <v>310</v>
      </c>
      <c r="AB1" s="72" t="s">
        <v>311</v>
      </c>
      <c r="AC1" s="72" t="s">
        <v>312</v>
      </c>
      <c r="AD1" s="72" t="s">
        <v>313</v>
      </c>
      <c r="AE1" s="72" t="s">
        <v>314</v>
      </c>
      <c r="AF1" s="72" t="s">
        <v>315</v>
      </c>
      <c r="AG1" s="72" t="s">
        <v>316</v>
      </c>
      <c r="AH1" s="72" t="s">
        <v>317</v>
      </c>
      <c r="AI1" s="72" t="s">
        <v>318</v>
      </c>
      <c r="AJ1" s="72" t="s">
        <v>319</v>
      </c>
      <c r="AK1" s="72" t="s">
        <v>320</v>
      </c>
      <c r="AL1" s="72" t="s">
        <v>321</v>
      </c>
      <c r="AM1" s="72" t="s">
        <v>322</v>
      </c>
      <c r="AN1" s="72" t="s">
        <v>323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ECCE0B7E273241B771D5665C72593F" ma:contentTypeVersion="3" ma:contentTypeDescription="Create a new document." ma:contentTypeScope="" ma:versionID="8cb2a9ddb531271e8769f58ef6dd0eac">
  <xsd:schema xmlns:xsd="http://www.w3.org/2001/XMLSchema" xmlns:xs="http://www.w3.org/2001/XMLSchema" xmlns:p="http://schemas.microsoft.com/office/2006/metadata/properties" xmlns:ns2="c908844c-832e-4de2-a193-1b6f2832c066" targetNamespace="http://schemas.microsoft.com/office/2006/metadata/properties" ma:root="true" ma:fieldsID="cfe873a1e9e28c1a60012d484052811f" ns2:_="">
    <xsd:import namespace="c908844c-832e-4de2-a193-1b6f2832c06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08844c-832e-4de2-a193-1b6f2832c06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D9E8B6DA-4464-46B1-ACCA-3E7D36848FE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8E5C10-D08E-4502-AD1C-FC88B440D1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08844c-832e-4de2-a193-1b6f2832c0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931BE30-E5A4-4EF5-9FF3-235D3005D627}">
  <ds:schemaRefs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1_weight_criteria</vt:lpstr>
      <vt:lpstr>2_evaluate_surveys</vt:lpstr>
      <vt:lpstr>3_prioritization_output</vt:lpstr>
      <vt:lpstr>background_calculations</vt:lpstr>
      <vt:lpstr>annual time budget</vt:lpstr>
      <vt:lpstr>survey-time</vt:lpstr>
      <vt:lpstr>survey characteristics</vt:lpstr>
      <vt:lpstr>Efficient portfolio analysis</vt:lpstr>
      <vt:lpstr>Final selected surveys</vt:lpstr>
      <vt:lpstr>SurveyData</vt:lpstr>
      <vt:lpstr>Efficient frontier chart</vt:lpstr>
      <vt:lpstr>'Efficient portfolio analysis'!Print_Area</vt:lpstr>
      <vt:lpstr>'Final selected surveys'!Print_Area</vt:lpstr>
    </vt:vector>
  </TitlesOfParts>
  <Manager/>
  <Company>US Fish and Wildlife Service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USFWS</dc:creator>
  <cp:keywords/>
  <dc:description/>
  <cp:lastModifiedBy>Sarah</cp:lastModifiedBy>
  <cp:revision/>
  <dcterms:created xsi:type="dcterms:W3CDTF">2007-10-04T17:48:39Z</dcterms:created>
  <dcterms:modified xsi:type="dcterms:W3CDTF">2022-12-30T23:09:12Z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0x01010090ECCE0B7E273241B771D5665C72593F</vt:lpwstr>
  </property>
</Properties>
</file>